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ding" sheetId="1" state="visible" r:id="rId1"/>
    <sheet xmlns:r="http://schemas.openxmlformats.org/officeDocument/2006/relationships" name="Protocol" sheetId="2" state="visible" r:id="rId2"/>
  </sheets>
  <definedNames>
    <definedName name="_xlnm._FilterDatabase" localSheetId="0" hidden="1">'Coding'!$A$1:$P$201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201"/>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0" customWidth="1" min="3" max="3"/>
    <col width="30" customWidth="1" min="4" max="4"/>
    <col width="70" customWidth="1" min="5" max="5"/>
    <col width="9" customWidth="1" min="6" max="6"/>
    <col width="16" customWidth="1" min="7" max="7"/>
    <col width="20" customWidth="1" min="8" max="8"/>
    <col width="30" customWidth="1" min="9" max="9"/>
    <col width="40" customWidth="1" min="10" max="10"/>
    <col width="45" customWidth="1" min="11" max="11"/>
    <col width="25" customWidth="1" min="12" max="12"/>
    <col width="8" customWidth="1" min="13" max="13"/>
    <col width="24" customWidth="1" min="14" max="14"/>
    <col width="13" customWidth="1" min="15" max="15"/>
    <col width="10" customWidth="1" min="16" max="16"/>
  </cols>
  <sheetData>
    <row r="1" ht="30" customHeight="1">
      <c r="A1" s="1" t="inlineStr">
        <is>
          <t>ID</t>
        </is>
      </c>
      <c r="B1" s="1" t="inlineStr">
        <is>
          <t>Cohort</t>
        </is>
      </c>
      <c r="C1" s="1" t="inlineStr">
        <is>
          <t>Dataset</t>
        </is>
      </c>
      <c r="D1" s="1" t="inlineStr">
        <is>
          <t>Paper File</t>
        </is>
      </c>
      <c r="E1" s="1" t="inlineStr">
        <is>
          <t>Original Reference</t>
        </is>
      </c>
      <c r="F1" s="1" t="inlineStr">
        <is>
          <t>Search</t>
        </is>
      </c>
      <c r="G1" s="1" t="inlineStr">
        <is>
          <t>Verdict_Exists</t>
        </is>
      </c>
      <c r="H1" s="1" t="inlineStr">
        <is>
          <t>Verdict_Match</t>
        </is>
      </c>
      <c r="I1" s="1" t="inlineStr">
        <is>
          <t>Evidence (URL or DOI)</t>
        </is>
      </c>
      <c r="J1" s="1" t="inlineStr">
        <is>
          <t>Notes</t>
        </is>
      </c>
      <c r="K1" s="1" t="inlineStr">
        <is>
          <t>Matched Title</t>
        </is>
      </c>
      <c r="L1" s="1" t="inlineStr">
        <is>
          <t>Matched Journal</t>
        </is>
      </c>
      <c r="M1" s="1" t="inlineStr">
        <is>
          <t>Matched Year</t>
        </is>
      </c>
      <c r="N1" s="1" t="inlineStr">
        <is>
          <t>Matched DOI</t>
        </is>
      </c>
      <c r="O1" s="1" t="inlineStr">
        <is>
          <t>Double_Coded</t>
        </is>
      </c>
      <c r="P1" s="1" t="inlineStr">
        <is>
          <t>Coder</t>
        </is>
      </c>
    </row>
    <row r="2" ht="42" customHeight="1">
      <c r="A2" t="inlineStr">
        <is>
          <t>V001</t>
        </is>
      </c>
      <c r="B2" t="inlineStr">
        <is>
          <t>2023</t>
        </is>
      </c>
      <c r="C2" t="inlineStr">
        <is>
          <t>Arxiv_CS_2023</t>
        </is>
      </c>
      <c r="D2" t="inlineStr">
        <is>
          <t>2312.04087v1.pdf</t>
        </is>
      </c>
      <c r="E2" s="2" t="inlineStr">
        <is>
          <t>Xuezhi Wang, Jason Wei, Dale Schuurmans, Quoc V. Le, Ed H. Chi, and Denny Zhou. Self- consistency improves chain of thought reasoning in language models. CoRR, abs/2203.11171,</t>
        </is>
      </c>
      <c r="F2">
        <f>HYPERLINK("https://scholar.google.com/scholar?q=Xuezhi+Wang%2C+Jason+Wei%2C+Dale+Schuurmans%2C+Quoc+V.+Le%2C+Ed+H.+Chi%2C+and+Denny+Zhou.+Self-+consistency+improves+chain+of+thou","search")</f>
        <v/>
      </c>
      <c r="G2" s="3" t="n"/>
      <c r="H2" s="3" t="n"/>
      <c r="I2" s="3" t="n"/>
      <c r="J2" s="3" t="n"/>
      <c r="K2" t="inlineStr">
        <is>
          <t>Chain-Of-Thought Prompting Elicits Reasoning in Large Language Models</t>
        </is>
      </c>
      <c r="L2" t="inlineStr">
        <is>
          <t>Advances in Neural Information Processing Systems 35</t>
        </is>
      </c>
      <c r="M2" t="n">
        <v>2022</v>
      </c>
      <c r="N2" t="inlineStr">
        <is>
          <t>10.52202/068431-1800</t>
        </is>
      </c>
      <c r="O2" t="inlineStr">
        <is>
          <t>NO</t>
        </is>
      </c>
      <c r="P2" s="3" t="n"/>
    </row>
    <row r="3" ht="42" customHeight="1">
      <c r="A3" t="inlineStr">
        <is>
          <t>V002</t>
        </is>
      </c>
      <c r="B3" t="inlineStr">
        <is>
          <t>2025</t>
        </is>
      </c>
      <c r="C3" t="inlineStr">
        <is>
          <t>Arxiv_CS_2025</t>
        </is>
      </c>
      <c r="D3" t="inlineStr">
        <is>
          <t>2501.13994v1.pdf</t>
        </is>
      </c>
      <c r="E3" s="2" t="inlineStr">
        <is>
          <t>Multi-agent deep reinforcement learning for multi-object tracker. IEEE Access 7 (2019), 32400–32407.</t>
        </is>
      </c>
      <c r="F3">
        <f>HYPERLINK("https://scholar.google.com/scholar?q=Multi-agent+deep+reinforcement+learning+for+multi-object+tracker.+IEEE+Access+7+%282019%29%2C+32400%E2%80%9332407.","search")</f>
        <v/>
      </c>
      <c r="G3" s="3" t="n"/>
      <c r="H3" s="3" t="n"/>
      <c r="I3" s="3" t="n"/>
      <c r="J3" s="3" t="n"/>
      <c r="K3" t="inlineStr">
        <is>
          <t>Multi-Agent Deep Reinforcement Learning for Multi-Object Tracker</t>
        </is>
      </c>
      <c r="L3" t="inlineStr">
        <is>
          <t>IEEE Access</t>
        </is>
      </c>
      <c r="M3" t="n">
        <v>2019</v>
      </c>
      <c r="N3" t="inlineStr">
        <is>
          <t>10.1109/access.2019.2901300</t>
        </is>
      </c>
      <c r="O3" t="inlineStr">
        <is>
          <t>NO</t>
        </is>
      </c>
      <c r="P3" s="3" t="n"/>
    </row>
    <row r="4" ht="42" customHeight="1">
      <c r="A4" t="inlineStr">
        <is>
          <t>V003</t>
        </is>
      </c>
      <c r="B4" t="inlineStr">
        <is>
          <t>2025</t>
        </is>
      </c>
      <c r="C4" t="inlineStr">
        <is>
          <t>Arxiv_CS_2025</t>
        </is>
      </c>
      <c r="D4" t="inlineStr">
        <is>
          <t>2502.02617v1.pdf</t>
        </is>
      </c>
      <c r="E4" s="2" t="inlineStr">
        <is>
          <t>Beltagy, I., Peters, M. E., and Cohan, A. Longformer: The long-document transformer. arXiv preprint arXiv:2004.05150, 2020.</t>
        </is>
      </c>
      <c r="F4">
        <f>HYPERLINK("https://scholar.google.com/scholar?q=Beltagy%2C+I.%2C+Peters%2C+M.+E.%2C+and+Cohan%2C+A.+Longformer%3A+The+long-document+transformer.+arXiv+preprint+arXiv%3A2004.05150%2C+20","search")</f>
        <v/>
      </c>
      <c r="G4" s="3" t="n"/>
      <c r="H4" s="3" t="n"/>
      <c r="I4" s="3" t="n"/>
      <c r="J4" s="3" t="n"/>
      <c r="K4" t="inlineStr">
        <is>
          <t>Comment on the Paper Titled ’The Origin of Quantum Mechanical Statistics: Insights from Research on Human Language’ (arXiv preprint arXiv:2407.14924, 2024)</t>
        </is>
      </c>
      <c r="L4" t="n">
        <v/>
      </c>
      <c r="M4" t="n">
        <v>2024</v>
      </c>
      <c r="N4" t="inlineStr">
        <is>
          <t>10.20944/preprints202411.2377.v1</t>
        </is>
      </c>
      <c r="O4" t="inlineStr">
        <is>
          <t>NO</t>
        </is>
      </c>
      <c r="P4" s="3" t="n"/>
    </row>
    <row r="5" ht="42" customHeight="1">
      <c r="A5" t="inlineStr">
        <is>
          <t>V004</t>
        </is>
      </c>
      <c r="B5" t="inlineStr">
        <is>
          <t>2026</t>
        </is>
      </c>
      <c r="C5" t="inlineStr">
        <is>
          <t>Arxiv_General_Latest</t>
        </is>
      </c>
      <c r="D5" t="inlineStr">
        <is>
          <t>2605.00821v1.pdf</t>
        </is>
      </c>
      <c r="E5" s="2" t="inlineStr">
        <is>
          <t>P. Peebles, The large-scale structure of the universe, Princeton university press (1980).</t>
        </is>
      </c>
      <c r="F5">
        <f>HYPERLINK("https://scholar.google.com/scholar?q=P.+Peebles%2C+The+large-scale+structure+of+the+universe%2C+Princeton+university+press+%281980%29.","search")</f>
        <v/>
      </c>
      <c r="G5" s="3" t="n"/>
      <c r="H5" s="3" t="n"/>
      <c r="I5" s="3" t="n"/>
      <c r="J5" s="3" t="n"/>
      <c r="K5" t="inlineStr">
        <is>
          <t>Mass Concentration:
            &lt;i&gt;The Large-Scale Structure of the Universe&lt;/i&gt;
            . P. J. E. Peebles. Princeton University Press, Princeton, N.J., 1980. xvi, 424 pp. Cloth, $30; paper, $9.95. Princeton Series in Physics.</t>
        </is>
      </c>
      <c r="L5" t="inlineStr">
        <is>
          <t>Science</t>
        </is>
      </c>
      <c r="M5" t="n">
        <v>1981</v>
      </c>
      <c r="N5" t="inlineStr">
        <is>
          <t>10.1126/science.212.4490.38.b</t>
        </is>
      </c>
      <c r="O5" t="inlineStr">
        <is>
          <t>NO</t>
        </is>
      </c>
      <c r="P5" s="3" t="n"/>
    </row>
    <row r="6" ht="42" customHeight="1">
      <c r="A6" t="inlineStr">
        <is>
          <t>V005</t>
        </is>
      </c>
      <c r="B6" t="inlineStr">
        <is>
          <t>2016</t>
        </is>
      </c>
      <c r="C6" t="inlineStr">
        <is>
          <t>Arxiv_CS_2016</t>
        </is>
      </c>
      <c r="D6" t="inlineStr">
        <is>
          <t>1604.06641v1.pdf</t>
        </is>
      </c>
      <c r="E6" s="2" t="inlineStr">
        <is>
          <t>J.R. Ullmann. An algorithm for subgraph isomorphism. Journal of the ACM, 23(1):31–42, 1976.</t>
        </is>
      </c>
      <c r="F6">
        <f>HYPERLINK("https://scholar.google.com/scholar?q=J.R.+Ullmann.+An+algorithm+for+subgraph+isomorphism.+Journal+of+the+ACM%2C+23%281%29%3A31%E2%80%9342%2C+1976.","search")</f>
        <v/>
      </c>
      <c r="G6" s="3" t="n"/>
      <c r="H6" s="3" t="n"/>
      <c r="I6" s="3" t="n"/>
      <c r="J6" s="3" t="n"/>
      <c r="K6" t="inlineStr">
        <is>
          <t>An Algorithm for Subgraph Isomorphism</t>
        </is>
      </c>
      <c r="L6" t="inlineStr">
        <is>
          <t>Journal of the ACM</t>
        </is>
      </c>
      <c r="M6" t="n">
        <v>1976</v>
      </c>
      <c r="N6" t="inlineStr">
        <is>
          <t>10.1145/321921.321925</t>
        </is>
      </c>
      <c r="O6" t="inlineStr">
        <is>
          <t>YES</t>
        </is>
      </c>
      <c r="P6" s="3" t="n"/>
    </row>
    <row r="7" ht="42" customHeight="1">
      <c r="A7" t="inlineStr">
        <is>
          <t>V006</t>
        </is>
      </c>
      <c r="B7" t="inlineStr">
        <is>
          <t>2023</t>
        </is>
      </c>
      <c r="C7" t="inlineStr">
        <is>
          <t>Arxiv_CS_2023</t>
        </is>
      </c>
      <c r="D7" t="inlineStr">
        <is>
          <t>2312.09928v1.pdf</t>
        </is>
      </c>
      <c r="E7" s="2" t="inlineStr">
        <is>
          <t>A. Sheth, M. Gaur, K. Roy, and K. Faldu, “Knowledge-intensive language understanding for explainable ai,” IEEE Internet Computing, vol. 25, no. 5, pp. 19–24, 2021.</t>
        </is>
      </c>
      <c r="F7">
        <f>HYPERLINK("https://scholar.google.com/scholar?q=A.+Sheth%2C+M.+Gaur%2C+K.+Roy%2C+and+K.+Faldu%2C+%E2%80%9CKnowledge-intensive+language+understanding+for+explainable+ai%2C%E2%80%9D+IEEE+Internet+","search")</f>
        <v/>
      </c>
      <c r="G7" s="3" t="n"/>
      <c r="H7" s="3" t="n"/>
      <c r="I7" s="3" t="n"/>
      <c r="J7" s="3" t="n"/>
      <c r="K7" t="inlineStr">
        <is>
          <t>Knowledge-Intensive Language Understanding for Explainable AI</t>
        </is>
      </c>
      <c r="L7" t="inlineStr">
        <is>
          <t>IEEE Internet Computing</t>
        </is>
      </c>
      <c r="M7" t="n">
        <v>2021</v>
      </c>
      <c r="N7" t="inlineStr">
        <is>
          <t>10.1109/mic.2021.3101919</t>
        </is>
      </c>
      <c r="O7" t="inlineStr">
        <is>
          <t>YES</t>
        </is>
      </c>
      <c r="P7" s="3" t="n"/>
    </row>
    <row r="8" ht="42" customHeight="1">
      <c r="A8" t="inlineStr">
        <is>
          <t>V007</t>
        </is>
      </c>
      <c r="B8" t="inlineStr">
        <is>
          <t>2023</t>
        </is>
      </c>
      <c r="C8" t="inlineStr">
        <is>
          <t>NeurIPS_2023</t>
        </is>
      </c>
      <c r="D8" t="inlineStr">
        <is>
          <t>06d5f1fe6509b001e6d4e0ec1afd83dd-Paper-Conference.pdf</t>
        </is>
      </c>
      <c r="E8" s="2" t="inlineStr">
        <is>
          <t>Kaiyang Zhou, Jingkang Yang, Chen Change Loy, and Ziwei Liu. Conditional prompt learn- ing for vision-language models. In IEEE/CVF Conference on Computer Vision and Pattern Recognition (CVPR), 2022.</t>
        </is>
      </c>
      <c r="F8">
        <f>HYPERLINK("https://scholar.google.com/scholar?q=Kaiyang+Zhou%2C+Jingkang+Yang%2C+Chen+Change+Loy%2C+and+Ziwei+Liu.+Conditional+prompt+learn-+ing+for+vision-language+models.+I","search")</f>
        <v/>
      </c>
      <c r="G8" s="3" t="n"/>
      <c r="H8" s="3" t="n"/>
      <c r="I8" s="3" t="n"/>
      <c r="J8" s="3" t="n"/>
      <c r="K8" t="inlineStr">
        <is>
          <t>Conditional Prompt Learning for Vision-Language Models</t>
        </is>
      </c>
      <c r="L8" t="inlineStr">
        <is>
          <t>2022 IEEE/CVF Conference on Computer Vision and Pattern Recognition (CVPR)</t>
        </is>
      </c>
      <c r="M8" t="n">
        <v>2022</v>
      </c>
      <c r="N8" t="inlineStr">
        <is>
          <t>10.1109/cvpr52688.2022.01631</t>
        </is>
      </c>
      <c r="O8" t="inlineStr">
        <is>
          <t>NO</t>
        </is>
      </c>
      <c r="P8" s="3" t="n"/>
    </row>
    <row r="9" ht="42" customHeight="1">
      <c r="A9" t="inlineStr">
        <is>
          <t>V008</t>
        </is>
      </c>
      <c r="B9" t="inlineStr">
        <is>
          <t>2016</t>
        </is>
      </c>
      <c r="C9" t="inlineStr">
        <is>
          <t>NeurIPS_2016</t>
        </is>
      </c>
      <c r="D9" t="inlineStr">
        <is>
          <t>18d10dc6e666eab6de9215ae5b3d54df-Paper.pdf</t>
        </is>
      </c>
      <c r="E9" s="2" t="inlineStr">
        <is>
          <t>Ginsbourger, D., Le Riche, R., and Carraro, L. (2010). Kriging is well-suited to parallelize optimization. In Computational Intelligence in Expensive Optimization Problems, pages 131–162. Springer.</t>
        </is>
      </c>
      <c r="F9">
        <f>HYPERLINK("https://scholar.google.com/scholar?q=Ginsbourger%2C+D.%2C+Le+Riche%2C+R.%2C+and+Carraro%2C+L.+%282010%29.+Kriging+is+well-suited+to+parallelize+optimization.+In+Computatio","search")</f>
        <v/>
      </c>
      <c r="G9" s="3" t="n"/>
      <c r="H9" s="3" t="n"/>
      <c r="I9" s="3" t="n"/>
      <c r="J9" s="3" t="n"/>
      <c r="K9" t="inlineStr">
        <is>
          <t>Kriging Is Well-Suited to Parallelize Optimization</t>
        </is>
      </c>
      <c r="L9" t="inlineStr">
        <is>
          <t>Adaptation Learning and Optimization</t>
        </is>
      </c>
      <c r="M9" t="n">
        <v>2010</v>
      </c>
      <c r="N9" t="inlineStr">
        <is>
          <t>10.1007/978-3-642-10701-6_6</t>
        </is>
      </c>
      <c r="O9" t="inlineStr">
        <is>
          <t>NO</t>
        </is>
      </c>
      <c r="P9" s="3" t="n"/>
    </row>
    <row r="10" ht="42" customHeight="1">
      <c r="A10" t="inlineStr">
        <is>
          <t>V009</t>
        </is>
      </c>
      <c r="B10" t="inlineStr">
        <is>
          <t>2016</t>
        </is>
      </c>
      <c r="C10" t="inlineStr">
        <is>
          <t>NeurIPS_2016</t>
        </is>
      </c>
      <c r="D10" t="inlineStr">
        <is>
          <t>0f96613235062963ccde717b18f97592-Paper.pdf</t>
        </is>
      </c>
      <c r="E10" s="2" t="inlineStr">
        <is>
          <t>J. L. Herlocker, J. A. Konstan, A. Borchers, and J. Riedl. An algorithmic framework for performing collaborative ﬁltering. In Proceedings of the 22nd Annual International ACM SIGIR Conference on Research and Development in Information Retrieval, pages 230–237. ACM, 1999.</t>
        </is>
      </c>
      <c r="F10">
        <f>HYPERLINK("https://scholar.google.com/scholar?q=J.+L.+Herlocker%2C+J.+A.+Konstan%2C+A.+Borchers%2C+and+J.+Riedl.+An+algorithmic+framework+for+performing+collaborative+%EF%AC%81lterin","search")</f>
        <v/>
      </c>
      <c r="G10" s="3" t="n"/>
      <c r="H10" s="3" t="n"/>
      <c r="I10" s="3" t="n"/>
      <c r="J10" s="3" t="n"/>
      <c r="K10" t="inlineStr">
        <is>
          <t>An algorithmic framework for performing collaborative filtering</t>
        </is>
      </c>
      <c r="L10" t="inlineStr">
        <is>
          <t>Proceedings of the 22nd annual international ACM SIGIR conference on Research and development in information retrieval</t>
        </is>
      </c>
      <c r="M10" t="n">
        <v>1999</v>
      </c>
      <c r="N10" t="inlineStr">
        <is>
          <t>10.1145/312624.312682</t>
        </is>
      </c>
      <c r="O10" t="inlineStr">
        <is>
          <t>YES</t>
        </is>
      </c>
      <c r="P10" s="3" t="n"/>
    </row>
    <row r="11" ht="42" customHeight="1">
      <c r="A11" t="inlineStr">
        <is>
          <t>V010</t>
        </is>
      </c>
      <c r="B11" t="inlineStr">
        <is>
          <t>2025</t>
        </is>
      </c>
      <c r="C11" t="inlineStr">
        <is>
          <t>NeurIPS_2025</t>
        </is>
      </c>
      <c r="D11" t="inlineStr">
        <is>
          <t>0524ee0a5f7b9f68eebe0b1740479491-Paper-Conference.pdf</t>
        </is>
      </c>
      <c r="E11" s="2" t="inlineStr">
        <is>
          <t>Yuan Huang, Peng Cao, and Guangwu Lyu. A directly readable halftone multifunctional color qr code. Chinese Journal of Electronics, 32(3):474–484, 2023.</t>
        </is>
      </c>
      <c r="F11">
        <f>HYPERLINK("https://scholar.google.com/scholar?q=Yuan+Huang%2C+Peng+Cao%2C+and+Guangwu+Lyu.+A+directly+readable+halftone+multifunctional+color+qr+code.+Chinese+Journal+of+El","search")</f>
        <v/>
      </c>
      <c r="G11" s="3" t="n"/>
      <c r="H11" s="3" t="n"/>
      <c r="I11" s="3" t="n"/>
      <c r="J11" s="3" t="n"/>
      <c r="K11" t="inlineStr">
        <is>
          <t>A Directly Readable Halftone Multifunctional Color QR Code</t>
        </is>
      </c>
      <c r="L11" t="inlineStr">
        <is>
          <t>Chinese Journal of Electronics</t>
        </is>
      </c>
      <c r="M11" t="n">
        <v>2023</v>
      </c>
      <c r="N11" t="inlineStr">
        <is>
          <t>10.23919/cje.2021.00.366</t>
        </is>
      </c>
      <c r="O11" t="inlineStr">
        <is>
          <t>NO</t>
        </is>
      </c>
      <c r="P11" s="3" t="n"/>
    </row>
    <row r="12" ht="42" customHeight="1">
      <c r="A12" t="inlineStr">
        <is>
          <t>V011</t>
        </is>
      </c>
      <c r="B12" t="inlineStr">
        <is>
          <t>2026</t>
        </is>
      </c>
      <c r="C12" t="inlineStr">
        <is>
          <t>Arxiv_General_Latest</t>
        </is>
      </c>
      <c r="D12" t="inlineStr">
        <is>
          <t>2603.13540v1.pdf</t>
        </is>
      </c>
      <c r="E12" s="2" t="inlineStr">
        <is>
          <t>Mastinu, P.; Praena, J.; Martìn-Hernàndez, G.; Dzysiuk, N.; Prete, G.; Capote, R.; Pignatari, M.; Ventura, A. Status of the LEgnaro NeutrOn Source facility (LENOS). Physics Procedia 2012, 26, 261–273. Proceedings of the first two meetings of the Union of Compact Accelerator-Driven Neutron Sources, https://doi.org/https://doi.org/10.1016/j.phpro.2012.03.034.</t>
        </is>
      </c>
      <c r="F12">
        <f>HYPERLINK("https://scholar.google.com/scholar?q=Mastinu%2C+P.%3B+Praena%2C+J.%3B+Mart%C3%ACn-Hern%C3%A0ndez%2C+G.%3B+Dzysiuk%2C+N.%3B+Prete%2C+G.%3B+Capote%2C+R.%3B+Pignatari%2C+M.%3B+Ventura%2C+A.+Status+of+","search")</f>
        <v/>
      </c>
      <c r="G12" s="3" t="n"/>
      <c r="H12" s="3" t="n"/>
      <c r="I12" s="3" t="n"/>
      <c r="J12" s="3" t="n"/>
      <c r="K12" t="inlineStr">
        <is>
          <t>Status of the LEgnaro NeutrOn Source facility (LENOS)</t>
        </is>
      </c>
      <c r="L12" t="inlineStr">
        <is>
          <t>Physics Procedia</t>
        </is>
      </c>
      <c r="M12" t="n">
        <v>2012</v>
      </c>
      <c r="N12" t="inlineStr">
        <is>
          <t>10.1016/j.phpro.2012.03.034</t>
        </is>
      </c>
      <c r="O12" t="inlineStr">
        <is>
          <t>NO</t>
        </is>
      </c>
      <c r="P12" s="3" t="n"/>
    </row>
    <row r="13" ht="42" customHeight="1">
      <c r="A13" t="inlineStr">
        <is>
          <t>V012</t>
        </is>
      </c>
      <c r="B13" t="inlineStr">
        <is>
          <t>2023</t>
        </is>
      </c>
      <c r="C13" t="inlineStr">
        <is>
          <t>Arxiv_CS_2023</t>
        </is>
      </c>
      <c r="D13" t="inlineStr">
        <is>
          <t>2401.03343v2.pdf</t>
        </is>
      </c>
      <c r="E13" s="2" t="inlineStr">
        <is>
          <t>Davis I and Galbraith D, Bio: A Vocabulary for Biographical Information, 2004,  Available at https://vocab.org/bio/ (Accessed on 10 April 2023).</t>
        </is>
      </c>
      <c r="F13">
        <f>HYPERLINK("https://scholar.google.com/scholar?q=Davis+I+and+Galbraith+D%2C+Bio%3A+A+Vocabulary+for+Biographical+Information%2C+2004%2C++Available+at+https%3A%2F%2Fvocab.org%2Fbio%2F+%28Acc","search")</f>
        <v/>
      </c>
      <c r="G13" s="3" t="n"/>
      <c r="H13" s="3" t="n"/>
      <c r="I13" s="3" t="n"/>
      <c r="J13" s="3" t="n"/>
      <c r="K13" t="inlineStr">
        <is>
          <t>Issue Information</t>
        </is>
      </c>
      <c r="L13" t="inlineStr">
        <is>
          <t>FEBS Open Bio</t>
        </is>
      </c>
      <c r="M13" t="n">
        <v>2023</v>
      </c>
      <c r="N13" t="inlineStr">
        <is>
          <t>10.1002/2211-5463.13433</t>
        </is>
      </c>
      <c r="O13" t="inlineStr">
        <is>
          <t>YES</t>
        </is>
      </c>
      <c r="P13" s="3" t="n"/>
    </row>
    <row r="14" ht="42" customHeight="1">
      <c r="A14" t="inlineStr">
        <is>
          <t>V013</t>
        </is>
      </c>
      <c r="B14" t="inlineStr">
        <is>
          <t>2025</t>
        </is>
      </c>
      <c r="C14" t="inlineStr">
        <is>
          <t>Arxiv_CS_2025</t>
        </is>
      </c>
      <c r="D14" t="inlineStr">
        <is>
          <t>2501.16361v1.pdf</t>
        </is>
      </c>
      <c r="E14" s="2" t="inlineStr">
        <is>
          <t>Haque A, Engel J, Teichmann SA, Lönnberg T. A practical guide to single-cell RNA- sequencing for biomedical research and clinical applications. Genome Med. 2017;9(1):75.  doi:10.1186/s13073-017-0467-4</t>
        </is>
      </c>
      <c r="F14">
        <f>HYPERLINK("https://scholar.google.com/scholar?q=Haque+A%2C+Engel+J%2C+Teichmann+SA%2C+L%C3%B6nnberg+T.+A+practical+guide+to+single-cell+RNA-+sequencing+for+biomedical+research+and","search")</f>
        <v/>
      </c>
      <c r="G14" s="3" t="n"/>
      <c r="H14" s="3" t="n"/>
      <c r="I14" s="3" t="n"/>
      <c r="J14" s="3" t="n"/>
      <c r="K14" t="inlineStr">
        <is>
          <t>A practical guide to single-cell RNA-sequencing for biomedical research and clinical applications</t>
        </is>
      </c>
      <c r="L14" t="inlineStr">
        <is>
          <t>Genome Medicine</t>
        </is>
      </c>
      <c r="M14" t="n">
        <v>2017</v>
      </c>
      <c r="N14" t="inlineStr">
        <is>
          <t>10.1186/s13073-017-0467-4</t>
        </is>
      </c>
      <c r="O14" t="inlineStr">
        <is>
          <t>YES</t>
        </is>
      </c>
      <c r="P14" s="3" t="n"/>
    </row>
    <row r="15" ht="42" customHeight="1">
      <c r="A15" t="inlineStr">
        <is>
          <t>V014</t>
        </is>
      </c>
      <c r="B15" t="inlineStr">
        <is>
          <t>2016</t>
        </is>
      </c>
      <c r="C15" t="inlineStr">
        <is>
          <t>NeurIPS_2016</t>
        </is>
      </c>
      <c r="D15" t="inlineStr">
        <is>
          <t>325995af77a0e8b06d1204a171010b3a-Paper.pdf</t>
        </is>
      </c>
      <c r="E15" s="2" t="inlineStr">
        <is>
          <t>H. O. Song, Y. Xiang, S. Jegelka, and S. Savarese. Deep metric learning via lifted structured feature embedding. Computer Vision and Pattern Recognition (CVPR), 2016.</t>
        </is>
      </c>
      <c r="F15">
        <f>HYPERLINK("https://scholar.google.com/scholar?q=H.+O.+Song%2C+Y.+Xiang%2C+S.+Jegelka%2C+and+S.+Savarese.+Deep+metric+learning+via+lifted+structured+feature+embedding.+Compute","search")</f>
        <v/>
      </c>
      <c r="G15" s="3" t="n"/>
      <c r="H15" s="3" t="n"/>
      <c r="I15" s="3" t="n"/>
      <c r="J15" s="3" t="n"/>
      <c r="K15" t="inlineStr">
        <is>
          <t>Deep Metric Learning via Lifted Structured Feature Embedding</t>
        </is>
      </c>
      <c r="L15" t="inlineStr">
        <is>
          <t>2016 IEEE Conference on Computer Vision and Pattern Recognition (CVPR)</t>
        </is>
      </c>
      <c r="M15" t="n">
        <v>2016</v>
      </c>
      <c r="N15" t="inlineStr">
        <is>
          <t>10.1109/cvpr.2016.434</t>
        </is>
      </c>
      <c r="O15" t="inlineStr">
        <is>
          <t>YES</t>
        </is>
      </c>
      <c r="P15" s="3" t="n"/>
    </row>
    <row r="16" ht="42" customHeight="1">
      <c r="A16" t="inlineStr">
        <is>
          <t>V015</t>
        </is>
      </c>
      <c r="B16" t="inlineStr">
        <is>
          <t>2023</t>
        </is>
      </c>
      <c r="C16" t="inlineStr">
        <is>
          <t>Arxiv_Bio_2023</t>
        </is>
      </c>
      <c r="D16" t="inlineStr">
        <is>
          <t>2301.04225v1.pdf</t>
        </is>
      </c>
      <c r="E16" s="2" t="inlineStr">
        <is>
          <t>E. Pericolini, B. Colombari, G. Ferretti, R. Iseppi, A. Ardizzoni, M. Girardis, A. Sala, S. Peppoloni, and E. Blasi, “Real-time monitoring of pseudomonas aeruginosa bioﬁlm formation on endotracheal tubes in vitro,” BMC Microbiology, vol. 18, Aug. 2018.</t>
        </is>
      </c>
      <c r="F16">
        <f>HYPERLINK("https://scholar.google.com/scholar?q=E.+Pericolini%2C+B.+Colombari%2C+G.+Ferretti%2C+R.+Iseppi%2C+A.+Ardizzoni%2C+M.+Girardis%2C+A.+Sala%2C+S.+Peppoloni%2C+and+E.+Blasi%2C+%E2%80%9CRe","search")</f>
        <v/>
      </c>
      <c r="G16" s="3" t="n"/>
      <c r="H16" s="3" t="n"/>
      <c r="I16" s="3" t="n"/>
      <c r="J16" s="3" t="n"/>
      <c r="K16" t="inlineStr">
        <is>
          <t>Real-time monitoring of Pseudomonas aeruginosa biofilm formation on endotracheal tubes in vitro</t>
        </is>
      </c>
      <c r="L16" t="inlineStr">
        <is>
          <t>BMC Microbiology</t>
        </is>
      </c>
      <c r="M16" t="n">
        <v>2018</v>
      </c>
      <c r="N16" t="inlineStr">
        <is>
          <t>10.1186/s12866-018-1224-6</t>
        </is>
      </c>
      <c r="O16" t="inlineStr">
        <is>
          <t>NO</t>
        </is>
      </c>
      <c r="P16" s="3" t="n"/>
    </row>
    <row r="17" ht="42" customHeight="1">
      <c r="A17" t="inlineStr">
        <is>
          <t>V016</t>
        </is>
      </c>
      <c r="B17" t="inlineStr">
        <is>
          <t>2016</t>
        </is>
      </c>
      <c r="C17" t="inlineStr">
        <is>
          <t>Arxiv_CS_2016</t>
        </is>
      </c>
      <c r="D17" t="inlineStr">
        <is>
          <t>1606.02231v1.pdf</t>
        </is>
      </c>
      <c r="E17" s="2" t="inlineStr">
        <is>
          <t>Stephen M Strakowski, Caleb M Adler, Jorge Almeida, Lori L Altshuler, Hilary P Blumberg, Kiki D Chang, Melissa P DelBello, Sophia Frangou, Andrew McIn- tosh, Mary L Phillips, et al. The functional neuroanatomy of bipolar disorder: a consensus model. Bipolar disorders, 14(4):313–325, 2012.</t>
        </is>
      </c>
      <c r="F17">
        <f>HYPERLINK("https://scholar.google.com/scholar?q=Stephen+M+Strakowski%2C+Caleb+M+Adler%2C+Jorge+Almeida%2C+Lori+L+Altshuler%2C+Hilary+P+Blumberg%2C+Kiki+D+Chang%2C+Melissa+P+DelBell","search")</f>
        <v/>
      </c>
      <c r="G17" s="3" t="n"/>
      <c r="H17" s="3" t="n"/>
      <c r="I17" s="3" t="n"/>
      <c r="J17" s="3" t="n"/>
      <c r="K17" t="inlineStr">
        <is>
          <t>The functional neuroanatomy of bipolar disorder: a consensus model</t>
        </is>
      </c>
      <c r="L17" t="inlineStr">
        <is>
          <t>Bipolar Disorders</t>
        </is>
      </c>
      <c r="M17" t="n">
        <v>2012</v>
      </c>
      <c r="N17" t="inlineStr">
        <is>
          <t>10.1111/j.1399-5618.2012.01022.x</t>
        </is>
      </c>
      <c r="O17" t="inlineStr">
        <is>
          <t>YES</t>
        </is>
      </c>
      <c r="P17" s="3" t="n"/>
    </row>
    <row r="18" ht="42" customHeight="1">
      <c r="A18" t="inlineStr">
        <is>
          <t>V017</t>
        </is>
      </c>
      <c r="B18" t="inlineStr">
        <is>
          <t>2023</t>
        </is>
      </c>
      <c r="C18" t="inlineStr">
        <is>
          <t>Arxiv_Bio_2023</t>
        </is>
      </c>
      <c r="D18" t="inlineStr">
        <is>
          <t>2302.13268v7.pdf</t>
        </is>
      </c>
      <c r="E18" s="2" t="inlineStr">
        <is>
          <t>Sadeghi A, Hajati, F., Rezaee, A., Sadeghi, M., Argha, A. 3DECG-Net: ECG fusion network for multi- label cardiac arrhythmia detection. Computers in Biology and Medicine. 2024;182:109126.</t>
        </is>
      </c>
      <c r="F18">
        <f>HYPERLINK("https://scholar.google.com/scholar?q=Sadeghi+A%2C+Hajati%2C+F.%2C+Rezaee%2C+A.%2C+Sadeghi%2C+M.%2C+Argha%2C+A.+3DECG-Net%3A+ECG+fusion+network+for+multi-+label+cardiac+arrhyth","search")</f>
        <v/>
      </c>
      <c r="G18" s="3" t="n"/>
      <c r="H18" s="3" t="n"/>
      <c r="I18" s="3" t="n"/>
      <c r="J18" s="3" t="n"/>
      <c r="K18" t="inlineStr">
        <is>
          <t>3DECG-Net: ECG fusion network for multi-label cardiac arrhythmia detection</t>
        </is>
      </c>
      <c r="L18" t="inlineStr">
        <is>
          <t>Computers in Biology and Medicine</t>
        </is>
      </c>
      <c r="M18" t="n">
        <v>2024</v>
      </c>
      <c r="N18" t="inlineStr">
        <is>
          <t>10.1016/j.compbiomed.2024.109126</t>
        </is>
      </c>
      <c r="O18" t="inlineStr">
        <is>
          <t>NO</t>
        </is>
      </c>
      <c r="P18" s="3" t="n"/>
    </row>
    <row r="19" ht="42" customHeight="1">
      <c r="A19" t="inlineStr">
        <is>
          <t>V018</t>
        </is>
      </c>
      <c r="B19" t="inlineStr">
        <is>
          <t>2023</t>
        </is>
      </c>
      <c r="C19" t="inlineStr">
        <is>
          <t>Arxiv_CS_2023</t>
        </is>
      </c>
      <c r="D19" t="inlineStr">
        <is>
          <t>2312.14345v2.pdf</t>
        </is>
      </c>
      <c r="E19" s="2" t="inlineStr">
        <is>
          <t>Yongfeng Zhang, Xu Chen, et al. 2020. Explainable recommendation: A survey and new perspectives. Foundations and Trends® in Information Retrieval 14, 1 (2020), 1–101.</t>
        </is>
      </c>
      <c r="F19">
        <f>HYPERLINK("https://scholar.google.com/scholar?q=Yongfeng+Zhang%2C+Xu+Chen%2C+et+al.+2020.+Explainable+recommendation%3A+A+survey+and+new+perspectives.+Foundations+and+Trends%C2%AE","search")</f>
        <v/>
      </c>
      <c r="G19" s="3" t="n"/>
      <c r="H19" s="3" t="n"/>
      <c r="I19" s="3" t="n"/>
      <c r="J19" s="3" t="n"/>
      <c r="K19" t="inlineStr">
        <is>
          <t>Explainable Recommendation: A Survey and New Perspectives</t>
        </is>
      </c>
      <c r="L19" t="inlineStr">
        <is>
          <t>Foundations and Trends® in Information Retrieval</t>
        </is>
      </c>
      <c r="M19" t="n">
        <v>2020</v>
      </c>
      <c r="N19" t="inlineStr">
        <is>
          <t>10.1561/1500000066</t>
        </is>
      </c>
      <c r="O19" t="inlineStr">
        <is>
          <t>NO</t>
        </is>
      </c>
      <c r="P19" s="3" t="n"/>
    </row>
    <row r="20" ht="42" customHeight="1">
      <c r="A20" t="inlineStr">
        <is>
          <t>V019</t>
        </is>
      </c>
      <c r="B20" t="inlineStr">
        <is>
          <t>2016</t>
        </is>
      </c>
      <c r="C20" t="inlineStr">
        <is>
          <t>NeurIPS_2016</t>
        </is>
      </c>
      <c r="D20" t="inlineStr">
        <is>
          <t>10c66082c124f8afe3df4886f5e516e0-Paper.pdf</t>
        </is>
      </c>
      <c r="E20" s="2" t="inlineStr">
        <is>
          <t>Weinberger, K.Q. and Saul, L.K. Distance metric learning for large margin nearest neighbor classiﬁcation. JMLR, 10:207–244, 2009.</t>
        </is>
      </c>
      <c r="F20">
        <f>HYPERLINK("https://scholar.google.com/scholar?q=Weinberger%2C+K.Q.+and+Saul%2C+L.K.+Distance+metric+learning+for+large+margin+nearest+neighbor+classi%EF%AC%81cation.+JMLR%2C+10%3A207%E2%80%932","search")</f>
        <v/>
      </c>
      <c r="G20" s="3" t="n"/>
      <c r="H20" s="3" t="n"/>
      <c r="I20" s="3" t="n"/>
      <c r="J20" s="3" t="n"/>
      <c r="K20" t="inlineStr">
        <is>
          <t>Parameter Free Large Margin Nearest Neighbor for Distance Metric Learning</t>
        </is>
      </c>
      <c r="L20" t="inlineStr">
        <is>
          <t>Proceedings of the AAAI Conference on Artificial Intelligence</t>
        </is>
      </c>
      <c r="M20" t="n">
        <v>2017</v>
      </c>
      <c r="N20" t="inlineStr">
        <is>
          <t>10.1609/aaai.v31i1.10861</t>
        </is>
      </c>
      <c r="O20" t="inlineStr">
        <is>
          <t>NO</t>
        </is>
      </c>
      <c r="P20" s="3" t="n"/>
    </row>
    <row r="21" ht="42" customHeight="1">
      <c r="A21" t="inlineStr">
        <is>
          <t>V020</t>
        </is>
      </c>
      <c r="B21" t="inlineStr">
        <is>
          <t>2023</t>
        </is>
      </c>
      <c r="C21" t="inlineStr">
        <is>
          <t>Arxiv_Bio_2023</t>
        </is>
      </c>
      <c r="D21" t="inlineStr">
        <is>
          <t>2308.13877v2.pdf</t>
        </is>
      </c>
      <c r="E21" s="2" t="inlineStr">
        <is>
          <t>Park TJ, Lee KG, Lee SY (2015) Advances in microbial biosynthesis of metal nanoparticles  - applied microbiology and biotechnology. In: SpringerLink.  https://link.springer.com/article/10.1007/s00253-015-6904-7.</t>
        </is>
      </c>
      <c r="F21">
        <f>HYPERLINK("https://scholar.google.com/scholar?q=Park+TJ%2C+Lee+KG%2C+Lee+SY+%282015%29+Advances+in+microbial+biosynthesis+of+metal+nanoparticles++-+applied+microbiology+and+bio","search")</f>
        <v/>
      </c>
      <c r="G21" s="3" t="n"/>
      <c r="H21" s="3" t="n"/>
      <c r="I21" s="3" t="n"/>
      <c r="J21" s="3" t="n"/>
      <c r="K21" t="inlineStr">
        <is>
          <t>Advances in microbial biosynthesis of metal nanoparticles</t>
        </is>
      </c>
      <c r="L21" t="inlineStr">
        <is>
          <t>Applied Microbiology and Biotechnology</t>
        </is>
      </c>
      <c r="M21" t="n">
        <v>2015</v>
      </c>
      <c r="N21" t="inlineStr">
        <is>
          <t>10.1007/s00253-015-6904-7</t>
        </is>
      </c>
      <c r="O21" t="inlineStr">
        <is>
          <t>NO</t>
        </is>
      </c>
      <c r="P21" s="3" t="n"/>
    </row>
    <row r="22" ht="42" customHeight="1">
      <c r="A22" t="inlineStr">
        <is>
          <t>V021</t>
        </is>
      </c>
      <c r="B22" t="inlineStr">
        <is>
          <t>2016</t>
        </is>
      </c>
      <c r="C22" t="inlineStr">
        <is>
          <t>Arxiv_Bio_2016</t>
        </is>
      </c>
      <c r="D22" t="inlineStr">
        <is>
          <t>1610.03828v3.pdf</t>
        </is>
      </c>
      <c r="E22" s="2" t="inlineStr">
        <is>
          <t>Doiron B, Lindner B, Longtin A, Maler L, Bastian J. Oscillatory activity in electrosensory neurons increases with the spatial correlation of the stochastic input stimulus. Phys Rev Let. 2004;93(4).</t>
        </is>
      </c>
      <c r="F22">
        <f>HYPERLINK("https://scholar.google.com/scholar?q=Doiron+B%2C+Lindner+B%2C+Longtin+A%2C+Maler+L%2C+Bastian+J.+Oscillatory+activity+in+electrosensory+neurons+increases+with+the+sp","search")</f>
        <v/>
      </c>
      <c r="G22" s="3" t="n"/>
      <c r="H22" s="3" t="n"/>
      <c r="I22" s="3" t="n"/>
      <c r="J22" s="3" t="n"/>
      <c r="K22" t="inlineStr">
        <is>
          <t>Oscillatory Activity in Electrosensory Neurons Increases with the Spatial Correlation of the Stochastic Input Stimulus</t>
        </is>
      </c>
      <c r="L22" t="inlineStr">
        <is>
          <t>Physical Review Letters</t>
        </is>
      </c>
      <c r="M22" t="n">
        <v>2004</v>
      </c>
      <c r="N22" t="inlineStr">
        <is>
          <t>10.1103/physrevlett.93.048101</t>
        </is>
      </c>
      <c r="O22" t="inlineStr">
        <is>
          <t>NO</t>
        </is>
      </c>
      <c r="P22" s="3" t="n"/>
    </row>
    <row r="23" ht="42" customHeight="1">
      <c r="A23" t="inlineStr">
        <is>
          <t>V022</t>
        </is>
      </c>
      <c r="B23" t="inlineStr">
        <is>
          <t>2016</t>
        </is>
      </c>
      <c r="C23" t="inlineStr">
        <is>
          <t>Arxiv_Bio_2016</t>
        </is>
      </c>
      <c r="D23" t="inlineStr">
        <is>
          <t>1604.02699v1.pdf</t>
        </is>
      </c>
      <c r="E23" s="2" t="inlineStr">
        <is>
          <t>David MacKay and Radford Neal. Near shannon limit performance of low density parity check codes. Electronics Letters, 32:1645–1646, 1996.</t>
        </is>
      </c>
      <c r="F23">
        <f>HYPERLINK("https://scholar.google.com/scholar?q=David+MacKay+and+Radford+Neal.+Near+shannon+limit+performance+of+low+density+parity+check+codes.+Electronics+Letters%2C+32","search")</f>
        <v/>
      </c>
      <c r="G23" s="3" t="n"/>
      <c r="H23" s="3" t="n"/>
      <c r="I23" s="3" t="n"/>
      <c r="J23" s="3" t="n"/>
      <c r="K23" t="inlineStr">
        <is>
          <t>Near Shannon limit performance of low density paritycheck codes</t>
        </is>
      </c>
      <c r="L23" t="inlineStr">
        <is>
          <t>Electronics Letters</t>
        </is>
      </c>
      <c r="M23" t="n">
        <v>1996</v>
      </c>
      <c r="N23" t="inlineStr">
        <is>
          <t>10.1049/el:19961141</t>
        </is>
      </c>
      <c r="O23" t="inlineStr">
        <is>
          <t>NO</t>
        </is>
      </c>
      <c r="P23" s="3" t="n"/>
    </row>
    <row r="24" ht="42" customHeight="1">
      <c r="A24" t="inlineStr">
        <is>
          <t>V023</t>
        </is>
      </c>
      <c r="B24" t="inlineStr">
        <is>
          <t>2023</t>
        </is>
      </c>
      <c r="C24" t="inlineStr">
        <is>
          <t>NeurIPS_2023</t>
        </is>
      </c>
      <c r="D24" t="inlineStr">
        <is>
          <t>0b0153a91f827b14e8bfea4e211362f3-Paper-Conference.pdf</t>
        </is>
      </c>
      <c r="E24" s="2" t="inlineStr">
        <is>
          <t>A. Hertz, R. Mokady, J. Tenenbaum, K. Aberman, Y. Pritch, and D. Cohen-Or. Prompt-to- prompt image editing with cross attention control. arXiv preprint arXiv:2208.01626, 2022.</t>
        </is>
      </c>
      <c r="F24">
        <f>HYPERLINK("https://scholar.google.com/scholar?q=A.+Hertz%2C+R.+Mokady%2C+J.+Tenenbaum%2C+K.+Aberman%2C+Y.+Pritch%2C+and+D.+Cohen-Or.+Prompt-to-+prompt+image+editing+with+cross+at","search")</f>
        <v/>
      </c>
      <c r="G24" s="3" t="n"/>
      <c r="H24" s="3" t="n"/>
      <c r="I24" s="3" t="n"/>
      <c r="J24" s="3" t="n"/>
      <c r="K24" t="inlineStr">
        <is>
          <t>Null-text Inversion for Editing Real Images using Guided Diffusion Models</t>
        </is>
      </c>
      <c r="L24" t="inlineStr">
        <is>
          <t>2023 IEEE/CVF Conference on Computer Vision and Pattern Recognition (CVPR)</t>
        </is>
      </c>
      <c r="M24" t="n">
        <v>2023</v>
      </c>
      <c r="N24" t="inlineStr">
        <is>
          <t>10.1109/cvpr52729.2023.00585</t>
        </is>
      </c>
      <c r="O24" t="inlineStr">
        <is>
          <t>YES</t>
        </is>
      </c>
      <c r="P24" s="3" t="n"/>
    </row>
    <row r="25" ht="42" customHeight="1">
      <c r="A25" t="inlineStr">
        <is>
          <t>V024</t>
        </is>
      </c>
      <c r="B25" t="inlineStr">
        <is>
          <t>2023</t>
        </is>
      </c>
      <c r="C25" t="inlineStr">
        <is>
          <t>Arxiv_Bio_2023</t>
        </is>
      </c>
      <c r="D25" t="inlineStr">
        <is>
          <t>2301.05255v2.pdf</t>
        </is>
      </c>
      <c r="E25" s="2" t="inlineStr">
        <is>
          <t>I. J. Wallace, et al., Orang Asli Health and Lifeways Project (OA HeLP): Study Protocol.  bioRxiv (2021) https:/doi.org/10.1101/2021.10.24.21265442.</t>
        </is>
      </c>
      <c r="F25">
        <f>HYPERLINK("https://scholar.google.com/scholar?q=I.+J.+Wallace%2C+et+al.%2C+Orang+Asli+Health+and+Lifeways+Project+%28OA+HeLP%29%3A+Study+Protocol.++bioRxiv+%282021%29+https%3A%2Fdoi.org%2F","search")</f>
        <v/>
      </c>
      <c r="G25" s="3" t="n"/>
      <c r="H25" s="3" t="n"/>
      <c r="I25" s="3" t="n"/>
      <c r="J25" s="3" t="n"/>
      <c r="K25" t="inlineStr">
        <is>
          <t>Orang Asli Health and Lifeways Project (OA HeLP): Study Protocol</t>
        </is>
      </c>
      <c r="L25" t="n">
        <v/>
      </c>
      <c r="M25" t="n">
        <v>2021</v>
      </c>
      <c r="N25" t="inlineStr">
        <is>
          <t>10.1101/2021.10.24.21265442</t>
        </is>
      </c>
      <c r="O25" t="inlineStr">
        <is>
          <t>NO</t>
        </is>
      </c>
      <c r="P25" s="3" t="n"/>
    </row>
    <row r="26" ht="42" customHeight="1">
      <c r="A26" t="inlineStr">
        <is>
          <t>V025</t>
        </is>
      </c>
      <c r="B26" t="inlineStr">
        <is>
          <t>2023</t>
        </is>
      </c>
      <c r="C26" t="inlineStr">
        <is>
          <t>NeurIPS_2023</t>
        </is>
      </c>
      <c r="D26" t="inlineStr">
        <is>
          <t>0a003511b09274348b8117f5f3b94c93-Paper-Conference.pdf</t>
        </is>
      </c>
      <c r="E26" s="2" t="inlineStr">
        <is>
          <t>John Flynn, Ivan Neulander, James Philbin, and Noah Snavely. Deepstereo: Learning to predict new views from the world’s imagery. In Proceedings of the IEEE conference on computer vision and pattern recognition, pages 5515–5524, 2016.</t>
        </is>
      </c>
      <c r="F26">
        <f>HYPERLINK("https://scholar.google.com/scholar?q=John+Flynn%2C+Ivan+Neulander%2C+James+Philbin%2C+and+Noah+Snavely.+Deepstereo%3A+Learning+to+predict+new+views+from+the+world%E2%80%99s+","search")</f>
        <v/>
      </c>
      <c r="G26" s="3" t="n"/>
      <c r="H26" s="3" t="n"/>
      <c r="I26" s="3" t="n"/>
      <c r="J26" s="3" t="n"/>
      <c r="K26" t="inlineStr">
        <is>
          <t>Deep Stereo: Learning to Predict New Views from the World's Imagery</t>
        </is>
      </c>
      <c r="L26" t="inlineStr">
        <is>
          <t>2016 IEEE Conference on Computer Vision and Pattern Recognition (CVPR)</t>
        </is>
      </c>
      <c r="M26" t="n">
        <v>2016</v>
      </c>
      <c r="N26" t="inlineStr">
        <is>
          <t>10.1109/cvpr.2016.595</t>
        </is>
      </c>
      <c r="O26" t="inlineStr">
        <is>
          <t>NO</t>
        </is>
      </c>
      <c r="P26" s="3" t="n"/>
    </row>
    <row r="27" ht="42" customHeight="1">
      <c r="A27" t="inlineStr">
        <is>
          <t>V026</t>
        </is>
      </c>
      <c r="B27" t="inlineStr">
        <is>
          <t>2025</t>
        </is>
      </c>
      <c r="C27" t="inlineStr">
        <is>
          <t>Arxiv_CS_2025</t>
        </is>
      </c>
      <c r="D27" t="inlineStr">
        <is>
          <t>2501.18128v1.pdf</t>
        </is>
      </c>
      <c r="E27" s="2" t="inlineStr">
        <is>
          <t>L. Basyal and M. Sanghvi, ”Text Summarization Using Large Language Models: A Comparative Study of MPT-7b-instruct, Falcon-7b-instruct, and OpenAI Chat-GPT Models,” ArXiv, Oct. 2023. https://doi.org/ 10.48550/arXiv.2310.10449</t>
        </is>
      </c>
      <c r="F27">
        <f>HYPERLINK("https://scholar.google.com/scholar?q=L.+Basyal+and+M.+Sanghvi%2C+%E2%80%9DText+Summarization+Using+Large+Language+Models%3A+A+Comparative+Study+of+MPT-7b-instruct%2C+Falco","search")</f>
        <v/>
      </c>
      <c r="G27" s="3" t="n"/>
      <c r="H27" s="3" t="n"/>
      <c r="I27" s="3" t="n"/>
      <c r="J27" s="3" t="n"/>
      <c r="K27" t="inlineStr">
        <is>
          <t>Comprehensive Examination of Instruction-Based Language Models: A Comparative Analysis of Mistral-7B and Llama-2-7B</t>
        </is>
      </c>
      <c r="L27" t="inlineStr">
        <is>
          <t>2023 International Conference on Emerging Research in Computational Science (ICERCS)</t>
        </is>
      </c>
      <c r="M27" t="n">
        <v>2023</v>
      </c>
      <c r="N27" t="inlineStr">
        <is>
          <t>10.1109/icercs57948.2023.10434081</t>
        </is>
      </c>
      <c r="O27" t="inlineStr">
        <is>
          <t>NO</t>
        </is>
      </c>
      <c r="P27" s="3" t="n"/>
    </row>
    <row r="28" ht="42" customHeight="1">
      <c r="A28" t="inlineStr">
        <is>
          <t>V027</t>
        </is>
      </c>
      <c r="B28" t="inlineStr">
        <is>
          <t>2016</t>
        </is>
      </c>
      <c r="C28" t="inlineStr">
        <is>
          <t>Arxiv_Bio_2016</t>
        </is>
      </c>
      <c r="D28" t="inlineStr">
        <is>
          <t>1606.01422v3.pdf</t>
        </is>
      </c>
      <c r="E28" s="2" t="inlineStr">
        <is>
          <t>Results 3.1.  Estimation  of  the  rate  of  initial  exponential  rise  in  cases The  results  of  the  ﬁt  of  an  exponential  rise  to  the  daily  inci- dence  data  of  clinically  identiﬁed  ZIKV  cases  in  Barranquilla  from the  beginning  of  October  up  to  the  end  of  November  (n  =  359)  are shown  overlaid  on  the  data  in  Fig.</t>
        </is>
      </c>
      <c r="F28">
        <f>HYPERLINK("https://scholar.google.com/scholar?q=Results+3.1.++Estimation++of++the++rate++of++initial++exponential++rise++in++cases+The++results++of++the++%EF%AC%81t++of++an++ex","search")</f>
        <v/>
      </c>
      <c r="G28" s="3" t="n"/>
      <c r="H28" s="3" t="n"/>
      <c r="I28" s="3" t="n"/>
      <c r="J28" s="3" t="n"/>
      <c r="K28" t="inlineStr">
        <is>
          <t>Fig. 2. Initial data and results of definitive experiments.</t>
        </is>
      </c>
      <c r="L28" t="n">
        <v/>
      </c>
      <c r="M28" t="n">
        <v/>
      </c>
      <c r="N28" t="inlineStr">
        <is>
          <t>10.17816/rf115178-4213218</t>
        </is>
      </c>
      <c r="O28" t="inlineStr">
        <is>
          <t>NO</t>
        </is>
      </c>
      <c r="P28" s="3" t="n"/>
    </row>
    <row r="29" ht="42" customHeight="1">
      <c r="A29" t="inlineStr">
        <is>
          <t>V028</t>
        </is>
      </c>
      <c r="B29" t="inlineStr">
        <is>
          <t>2016</t>
        </is>
      </c>
      <c r="C29" t="inlineStr">
        <is>
          <t>Arxiv_Bio_2016</t>
        </is>
      </c>
      <c r="D29" t="inlineStr">
        <is>
          <t>1611.08929v1.pdf</t>
        </is>
      </c>
      <c r="E29" s="2" t="inlineStr">
        <is>
          <t>L. M. Pecora and T. L. Caroll, Phys. Rev. Lett., 64, 821 (1990).             FIG. 1: (A) The schematic diagram of molecular mechanism of the autocrine signaling in the  model and (B) Coupling of a group of cells in a pool of GnRH.         FIG. 2: Plots of    , (j=1,2,...,10) of 10 cells with common GnRH (G) at k = 464 showing  desynchronized, synchronized and sparsely synchronized regimes. The values of the parameters  we have taken in the simulation are: l = 0.067,      = 9.227 ×     , m = 0.01</t>
        </is>
      </c>
      <c r="F29">
        <f>HYPERLINK("https://scholar.google.com/scholar?q=L.+M.+Pecora+and+T.+L.+Caroll%2C+Phys.+Rev.+Lett.%2C+64%2C+821+%281990%29.+++++++++++++FIG.+1%3A+%28A%29+The+schematic+diagram+of+molecu","search")</f>
        <v/>
      </c>
      <c r="G29" s="3" t="n"/>
      <c r="H29" s="3" t="n"/>
      <c r="I29" s="3" t="n"/>
      <c r="J29" s="3" t="n"/>
      <c r="K29" t="inlineStr">
        <is>
          <t>Figure 3. Cells adjust oscillations to different periods for a wide range of forcing amplitudes.</t>
        </is>
      </c>
      <c r="L29" t="n">
        <v/>
      </c>
      <c r="M29" t="n">
        <v/>
      </c>
      <c r="N29" t="inlineStr">
        <is>
          <t>10.7554/elife.09100.022</t>
        </is>
      </c>
      <c r="O29" t="inlineStr">
        <is>
          <t>NO</t>
        </is>
      </c>
      <c r="P29" s="3" t="n"/>
    </row>
    <row r="30" ht="42" customHeight="1">
      <c r="A30" t="inlineStr">
        <is>
          <t>V029</t>
        </is>
      </c>
      <c r="B30" t="inlineStr">
        <is>
          <t>2016</t>
        </is>
      </c>
      <c r="C30" t="inlineStr">
        <is>
          <t>NeurIPS_2016</t>
        </is>
      </c>
      <c r="D30" t="inlineStr">
        <is>
          <t>10c66082c124f8afe3df4886f5e516e0-Paper.pdf</t>
        </is>
      </c>
      <c r="E30" s="2" t="inlineStr">
        <is>
          <t>Blei, D. M., Ng, A. Y., and Jordan, M. I. Latent dirichlet allocation. JMLR, 2003.</t>
        </is>
      </c>
      <c r="F30">
        <f>HYPERLINK("https://scholar.google.com/scholar?q=Blei%2C+D.+M.%2C+Ng%2C+A.+Y.%2C+and+Jordan%2C+M.+I.+Latent+dirichlet+allocation.+JMLR%2C+2003.","search")</f>
        <v/>
      </c>
      <c r="G30" s="3" t="n"/>
      <c r="H30" s="3" t="n"/>
      <c r="I30" s="3" t="n"/>
      <c r="J30" s="3" t="n"/>
      <c r="K30" t="inlineStr">
        <is>
          <t>Latent Dirichlet Allocation</t>
        </is>
      </c>
      <c r="L30" t="inlineStr">
        <is>
          <t>Advances in Neural Information Processing Systems 14</t>
        </is>
      </c>
      <c r="M30" t="n">
        <v>2002</v>
      </c>
      <c r="N30" t="inlineStr">
        <is>
          <t>10.7551/mitpress/1120.003.0082</t>
        </is>
      </c>
      <c r="O30" t="inlineStr">
        <is>
          <t>NO</t>
        </is>
      </c>
      <c r="P30" s="3" t="n"/>
    </row>
    <row r="31" ht="42" customHeight="1">
      <c r="A31" t="inlineStr">
        <is>
          <t>V030</t>
        </is>
      </c>
      <c r="B31" t="inlineStr">
        <is>
          <t>2023</t>
        </is>
      </c>
      <c r="C31" t="inlineStr">
        <is>
          <t>Arxiv_CS_2023</t>
        </is>
      </c>
      <c r="D31" t="inlineStr">
        <is>
          <t>2312.10826v1.pdf</t>
        </is>
      </c>
      <c r="E31" s="2" t="inlineStr">
        <is>
          <t>Françeska Xhakaj, Vincent Aleven, and Bruce M McLaren. 2017. Effects of a teacher dashboard for an intelligent tutoring system on teacher knowledge, lesson planning, lessons and student learning. In Data Driven Approaches in Digital Education: 12th European Conference on Technology Enhanced Learning, EC-TEL 2017, Tallinn, Estonia, September 12–15, 2017, Proceedings 12. Springer, 315–329.</t>
        </is>
      </c>
      <c r="F31">
        <f>HYPERLINK("https://scholar.google.com/scholar?q=Fran%C3%A7eska+Xhakaj%2C+Vincent+Aleven%2C+and+Bruce+M+McLaren.+2017.+Effects+of+a+teacher+dashboard+for+an+intelligent+tutoring+","search")</f>
        <v/>
      </c>
      <c r="G31" s="3" t="n"/>
      <c r="H31" s="3" t="n"/>
      <c r="I31" s="3" t="n"/>
      <c r="J31" s="3" t="n"/>
      <c r="K31" t="inlineStr">
        <is>
          <t>Effects of a Teacher Dashboard for an Intelligent Tutoring System on Teacher Knowledge, Lesson Planning, Lessons and Student Learning</t>
        </is>
      </c>
      <c r="L31" t="inlineStr">
        <is>
          <t>Lecture Notes in Computer Science</t>
        </is>
      </c>
      <c r="M31" t="n">
        <v>2017</v>
      </c>
      <c r="N31" t="inlineStr">
        <is>
          <t>10.1007/978-3-319-66610-5_23</t>
        </is>
      </c>
      <c r="O31" t="inlineStr">
        <is>
          <t>NO</t>
        </is>
      </c>
      <c r="P31" s="3" t="n"/>
    </row>
    <row r="32" ht="42" customHeight="1">
      <c r="A32" t="inlineStr">
        <is>
          <t>V031</t>
        </is>
      </c>
      <c r="B32" t="inlineStr">
        <is>
          <t>2016</t>
        </is>
      </c>
      <c r="C32" t="inlineStr">
        <is>
          <t>Arxiv_Bio_2016</t>
        </is>
      </c>
      <c r="D32" t="inlineStr">
        <is>
          <t>1605.09489v1.pdf</t>
        </is>
      </c>
      <c r="E32" s="2" t="inlineStr">
        <is>
          <t>Alberts B 2002 Molecular biology of the cell (New York: Garland Science)</t>
        </is>
      </c>
      <c r="F32">
        <f>HYPERLINK("https://scholar.google.com/scholar?q=Alberts+B+2002+Molecular+biology+of+the+cell+%28New+York%3A+Garland+Science%29","search")</f>
        <v/>
      </c>
      <c r="G32" s="3" t="n"/>
      <c r="H32" s="3" t="n"/>
      <c r="I32" s="3" t="n"/>
      <c r="J32" s="3" t="n"/>
      <c r="K32" t="inlineStr">
        <is>
          <t>&lt;i&gt;Molecular Biology of the Cell: A Problems Approach&lt;/i&gt;. &lt;i&gt;Fourth Edition. By &lt;/i&gt;John  Wilson and Tim  Hunt. &lt;i&gt;New York: Garland Science.&lt;/i&gt; $33.95 (paper). xxiii + 711 p; ill.; index. ISBN: 0‐8153‐3577‐6. [A companion to &lt;i&gt;Molecular Biology of the Cell,&lt;/i&gt; Fourth Edition, by B Alberts et al., published by Garland Science, New York, 2002.] 2002.</t>
        </is>
      </c>
      <c r="L32" t="inlineStr">
        <is>
          <t>The Quarterly Review of Biology</t>
        </is>
      </c>
      <c r="M32" t="n">
        <v>2003</v>
      </c>
      <c r="N32" t="inlineStr">
        <is>
          <t>10.1086/380007</t>
        </is>
      </c>
      <c r="O32" t="inlineStr">
        <is>
          <t>NO</t>
        </is>
      </c>
      <c r="P32" s="3" t="n"/>
    </row>
    <row r="33" ht="42" customHeight="1">
      <c r="A33" t="inlineStr">
        <is>
          <t>V032</t>
        </is>
      </c>
      <c r="B33" t="inlineStr">
        <is>
          <t>2025</t>
        </is>
      </c>
      <c r="C33" t="inlineStr">
        <is>
          <t>NeurIPS_2025</t>
        </is>
      </c>
      <c r="D33" t="inlineStr">
        <is>
          <t>03600ae6c3392fd65ad7c3a90c6f7ce8-Paper-Conference.pdf</t>
        </is>
      </c>
      <c r="E33" s="2" t="inlineStr">
        <is>
          <t>Wenhao Sun, Rong-Cheng Tu, Jingyi Liao, Zhao Jin, and Dacheng Tao. Asymrnr: Video diffusion transformers acceleration with asymmetric reduction and restoration. In Forty-second International Conference on Machine Learning.</t>
        </is>
      </c>
      <c r="F33">
        <f>HYPERLINK("https://scholar.google.com/scholar?q=Wenhao+Sun%2C+Rong-Cheng+Tu%2C+Jingyi+Liao%2C+Zhao+Jin%2C+and+Dacheng+Tao.+Asymrnr%3A+Video+diffusion+transformers+acceleration+wi","search")</f>
        <v/>
      </c>
      <c r="G33" s="3" t="n"/>
      <c r="H33" s="3" t="n"/>
      <c r="I33" s="3" t="n"/>
      <c r="J33" s="3" t="n"/>
      <c r="K33" t="inlineStr">
        <is>
          <t>An effective method for image segmentation</t>
        </is>
      </c>
      <c r="L33" t="inlineStr">
        <is>
          <t>2005 International Conference on Machine Learning and Cybernetics</t>
        </is>
      </c>
      <c r="M33" t="n">
        <v>2005</v>
      </c>
      <c r="N33" t="inlineStr">
        <is>
          <t>10.1109/icmlc.2005.1527899</t>
        </is>
      </c>
      <c r="O33" t="inlineStr">
        <is>
          <t>NO</t>
        </is>
      </c>
      <c r="P33" s="3" t="n"/>
    </row>
    <row r="34" ht="42" customHeight="1">
      <c r="A34" t="inlineStr">
        <is>
          <t>V033</t>
        </is>
      </c>
      <c r="B34" t="inlineStr">
        <is>
          <t>2023</t>
        </is>
      </c>
      <c r="C34" t="inlineStr">
        <is>
          <t>Arxiv_CS_2023</t>
        </is>
      </c>
      <c r="D34" t="inlineStr">
        <is>
          <t>2312.11935v1.pdf</t>
        </is>
      </c>
      <c r="E34" s="2" t="inlineStr">
        <is>
          <t>J. Erdmann, “Sumo’s lane-changing model,” in Modeling Mobility with Open Data, 2015, pp. 105–123.</t>
        </is>
      </c>
      <c r="F34">
        <f>HYPERLINK("https://scholar.google.com/scholar?q=J.+Erdmann%2C+%E2%80%9CSumo%E2%80%99s+lane-changing+model%2C%E2%80%9D+in+Modeling+Mobility+with+Open+Data%2C+2015%2C+pp.+105%E2%80%93123.","search")</f>
        <v/>
      </c>
      <c r="G34" s="3" t="n"/>
      <c r="H34" s="3" t="n"/>
      <c r="I34" s="3" t="n"/>
      <c r="J34" s="3" t="n"/>
      <c r="K34" t="inlineStr">
        <is>
          <t>SUMO’s Lane-Changing Model</t>
        </is>
      </c>
      <c r="L34" t="inlineStr">
        <is>
          <t>Lecture Notes in Mobility</t>
        </is>
      </c>
      <c r="M34" t="n">
        <v>2015</v>
      </c>
      <c r="N34" t="inlineStr">
        <is>
          <t>10.1007/978-3-319-15024-6_7</t>
        </is>
      </c>
      <c r="O34" t="inlineStr">
        <is>
          <t>NO</t>
        </is>
      </c>
      <c r="P34" s="3" t="n"/>
    </row>
    <row r="35" ht="42" customHeight="1">
      <c r="A35" t="inlineStr">
        <is>
          <t>V034</t>
        </is>
      </c>
      <c r="B35" t="inlineStr">
        <is>
          <t>2016</t>
        </is>
      </c>
      <c r="C35" t="inlineStr">
        <is>
          <t>NeurIPS_2016</t>
        </is>
      </c>
      <c r="D35" t="inlineStr">
        <is>
          <t>2a27b8144ac02f67687f76782a3b5d8f-Paper.pdf</t>
        </is>
      </c>
      <c r="E35" s="2" t="inlineStr">
        <is>
          <t>G. Montavon, K.-R. Müller, and M. Cuturi. Wasserstein training of restricted Boltzmann machines. In Adv. in Neural Information Processing Systems, 2016.</t>
        </is>
      </c>
      <c r="F35">
        <f>HYPERLINK("https://scholar.google.com/scholar?q=G.+Montavon%2C+K.-R.+M%C3%BCller%2C+and+M.+Cuturi.+Wasserstein+training+of+restricted+Boltzmann+machines.+In+Adv.+in+Neural+Infor","search")</f>
        <v/>
      </c>
      <c r="G35" s="3" t="n"/>
      <c r="H35" s="3" t="n"/>
      <c r="I35" s="3" t="n"/>
      <c r="J35" s="3" t="n"/>
      <c r="K35" t="inlineStr">
        <is>
          <t>Learning Informative Features from Restricted Boltzmann Machines</t>
        </is>
      </c>
      <c r="L35" t="inlineStr">
        <is>
          <t>Neural Processing Letters</t>
        </is>
      </c>
      <c r="M35" t="n">
        <v>2015</v>
      </c>
      <c r="N35" t="inlineStr">
        <is>
          <t>10.1007/s11063-015-9491-9</t>
        </is>
      </c>
      <c r="O35" t="inlineStr">
        <is>
          <t>NO</t>
        </is>
      </c>
      <c r="P35" s="3" t="n"/>
    </row>
    <row r="36" ht="42" customHeight="1">
      <c r="A36" t="inlineStr">
        <is>
          <t>V035</t>
        </is>
      </c>
      <c r="B36" t="inlineStr">
        <is>
          <t>2023</t>
        </is>
      </c>
      <c r="C36" t="inlineStr">
        <is>
          <t>Arxiv_Bio_2023</t>
        </is>
      </c>
      <c r="D36" t="inlineStr">
        <is>
          <t>2306.13699v1.pdf</t>
        </is>
      </c>
      <c r="E36" s="2" t="inlineStr">
        <is>
          <t>A.-I. Bonciocat and K.-T. Sturm, “Mass transportation and rough cur- vature bounds for discrete spaces,” Journal of Functional Analysis, vol. 256, no. 9, pp. 2944–2966, 2009.</t>
        </is>
      </c>
      <c r="F36">
        <f>HYPERLINK("https://scholar.google.com/scholar?q=A.-I.+Bonciocat+and+K.-T.+Sturm%2C+%E2%80%9CMass+transportation+and+rough+cur-+vature+bounds+for+discrete+spaces%2C%E2%80%9D+Journal+of+Func","search")</f>
        <v/>
      </c>
      <c r="G36" s="3" t="n"/>
      <c r="H36" s="3" t="n"/>
      <c r="I36" s="3" t="n"/>
      <c r="J36" s="3" t="n"/>
      <c r="K36" t="inlineStr">
        <is>
          <t>Mass transportation and rough curvature bounds for discrete spaces</t>
        </is>
      </c>
      <c r="L36" t="inlineStr">
        <is>
          <t>Journal of Functional Analysis</t>
        </is>
      </c>
      <c r="M36" t="n">
        <v>2009</v>
      </c>
      <c r="N36" t="inlineStr">
        <is>
          <t>10.1016/j.jfa.2009.01.029</t>
        </is>
      </c>
      <c r="O36" t="inlineStr">
        <is>
          <t>YES</t>
        </is>
      </c>
      <c r="P36" s="3" t="n"/>
    </row>
    <row r="37" ht="42" customHeight="1">
      <c r="A37" t="inlineStr">
        <is>
          <t>V036</t>
        </is>
      </c>
      <c r="B37" t="inlineStr">
        <is>
          <t>2026</t>
        </is>
      </c>
      <c r="C37" t="inlineStr">
        <is>
          <t>Arxiv_General_Latest</t>
        </is>
      </c>
      <c r="D37" t="inlineStr">
        <is>
          <t>2606.14669v1.pdf</t>
        </is>
      </c>
      <c r="E37" s="2" t="inlineStr">
        <is>
          <t>SND@LHC collaboration, Measurement of the Muon Flux at SND@LHC: Results from the 2023-2025 Proton and Heavy-Ion Periods, 2602.23412.</t>
        </is>
      </c>
      <c r="F37">
        <f>HYPERLINK("https://scholar.google.com/scholar?q=SND%40LHC+collaboration%2C+Measurement+of+the+Muon+Flux+at+SND%40LHC%3A+Results+from+the+2023-2025+Proton+and+Heavy-Ion+Periods%2C","search")</f>
        <v/>
      </c>
      <c r="G37" s="3" t="n"/>
      <c r="H37" s="3" t="n"/>
      <c r="I37" s="3" t="n"/>
      <c r="J37" s="3" t="n"/>
      <c r="K37" t="inlineStr">
        <is>
          <t>Muon neutrino interaction studies with SND@LHC detector</t>
        </is>
      </c>
      <c r="L37" t="inlineStr">
        <is>
          <t>Proceedings of The European Physical Society Conference on High Energy Physics — PoS(EPS-HEP2025)</t>
        </is>
      </c>
      <c r="M37" t="n">
        <v>2025</v>
      </c>
      <c r="N37" t="inlineStr">
        <is>
          <t>10.22323/1.485.0144</t>
        </is>
      </c>
      <c r="O37" t="inlineStr">
        <is>
          <t>NO</t>
        </is>
      </c>
      <c r="P37" s="3" t="n"/>
    </row>
    <row r="38" ht="42" customHeight="1">
      <c r="A38" t="inlineStr">
        <is>
          <t>V037</t>
        </is>
      </c>
      <c r="B38" t="inlineStr">
        <is>
          <t>2023</t>
        </is>
      </c>
      <c r="C38" t="inlineStr">
        <is>
          <t>Arxiv_CS_2023</t>
        </is>
      </c>
      <c r="D38" t="inlineStr">
        <is>
          <t>2312.10826v1.pdf</t>
        </is>
      </c>
      <c r="E38" s="2" t="inlineStr">
        <is>
          <t>Shamya Karumbaiah, Conrad Borchers, Tianze Shou, Ann-Christin Falhs, Pinyang Liu, Tomohiro Nagashima, Nikol Rummel, and Vincent Aleven.</t>
        </is>
      </c>
      <c r="F38">
        <f>HYPERLINK("https://scholar.google.com/scholar?q=Shamya+Karumbaiah%2C+Conrad+Borchers%2C+Tianze+Shou%2C+Ann-Christin+Falhs%2C+Pinyang+Liu%2C+Tomohiro+Nagashima%2C+Nikol+Rummel%2C+and+","search")</f>
        <v/>
      </c>
      <c r="G38" s="3" t="n"/>
      <c r="H38" s="3" t="n"/>
      <c r="I38" s="3" t="n"/>
      <c r="J38" s="3" t="n"/>
      <c r="K38" t="inlineStr">
        <is>
          <t>A Spatiotemporal Analysis of Teacher Practices in Supporting Student Learning and Engagement in an AI-Enabled Classroom</t>
        </is>
      </c>
      <c r="L38" t="inlineStr">
        <is>
          <t>Lecture Notes in Computer Science</t>
        </is>
      </c>
      <c r="M38" t="n">
        <v>2023</v>
      </c>
      <c r="N38" t="inlineStr">
        <is>
          <t>10.1007/978-3-031-36272-9_37</t>
        </is>
      </c>
      <c r="O38" t="inlineStr">
        <is>
          <t>NO</t>
        </is>
      </c>
      <c r="P38" s="3" t="n"/>
    </row>
    <row r="39" ht="42" customHeight="1">
      <c r="A39" t="inlineStr">
        <is>
          <t>V038</t>
        </is>
      </c>
      <c r="B39" t="inlineStr">
        <is>
          <t>2016</t>
        </is>
      </c>
      <c r="C39" t="inlineStr">
        <is>
          <t>Arxiv_CS_2016</t>
        </is>
      </c>
      <c r="D39" t="inlineStr">
        <is>
          <t>1612.09433v1.pdf</t>
        </is>
      </c>
      <c r="E39" s="2" t="inlineStr">
        <is>
          <t>Kennard Laviers, Gita Sukthankar, Matthew Klenk, David W Aha, and Matthew Molineaux. Opponent modeling and spatial similarity to re- trieve and reuse superior plays. In Proceedings of the ICCBR Workshop on Case-Based Reasoning for Computer Games, 2009.</t>
        </is>
      </c>
      <c r="F39">
        <f>HYPERLINK("https://scholar.google.com/scholar?q=Kennard+Laviers%2C+Gita+Sukthankar%2C+Matthew+Klenk%2C+David+W+Aha%2C+and+Matthew+Molineaux.+Opponent+modeling+and+spatial+simil","search")</f>
        <v/>
      </c>
      <c r="G39" s="3" t="n"/>
      <c r="H39" s="3" t="n"/>
      <c r="I39" s="3" t="n"/>
      <c r="J39" s="3" t="n"/>
      <c r="K39" t="inlineStr">
        <is>
          <t>Improving Offensive Performance Through Opponent Modeling</t>
        </is>
      </c>
      <c r="L39" t="inlineStr">
        <is>
          <t>Proceedings of the AAAI Conference on Artificial Intelligence and Interactive Digital Entertainment</t>
        </is>
      </c>
      <c r="M39" t="n">
        <v>2009</v>
      </c>
      <c r="N39" t="inlineStr">
        <is>
          <t>10.1609/aiide.v5i1.12348</t>
        </is>
      </c>
      <c r="O39" t="inlineStr">
        <is>
          <t>NO</t>
        </is>
      </c>
      <c r="P39" s="3" t="n"/>
    </row>
    <row r="40" ht="42" customHeight="1">
      <c r="A40" t="inlineStr">
        <is>
          <t>V039</t>
        </is>
      </c>
      <c r="B40" t="inlineStr">
        <is>
          <t>2023</t>
        </is>
      </c>
      <c r="C40" t="inlineStr">
        <is>
          <t>Arxiv_CS_2023</t>
        </is>
      </c>
      <c r="D40" t="inlineStr">
        <is>
          <t>2312.04029v1.pdf</t>
        </is>
      </c>
      <c r="E40" s="2" t="inlineStr">
        <is>
          <t>Xu, Y.; Fang, X.; Li, X.; Yang, J.; You, J.; Liu, H.; and Teng, S. 2020. Data Uncertainty in Face Recognition. IEEE Trans- actions on Cybernetics, 44(10): 1950–1961. Yang, L.; Chen, D.; Zhan, X.; Zhao, R.; Loy, C. C.; and Lin, D. 2020a. Learning to Cluster Faces via Confidence and Connectivity Estimation. In 2020 IEEE/CVF Conference on Computer Vision and Pattern Recognition (CVPR), 13366–</t>
        </is>
      </c>
      <c r="F40">
        <f>HYPERLINK("https://scholar.google.com/scholar?q=Xu%2C+Y.%3B+Fang%2C+X.%3B+Li%2C+X.%3B+Yang%2C+J.%3B+You%2C+J.%3B+Liu%2C+H.%3B+and+Teng%2C+S.+2020.+Data+Uncertainty+in+Face+Recognition.+IEEE+Tran","search")</f>
        <v/>
      </c>
      <c r="G40" s="3" t="n"/>
      <c r="H40" s="3" t="n"/>
      <c r="I40" s="3" t="n"/>
      <c r="J40" s="3" t="n"/>
      <c r="K40" t="inlineStr">
        <is>
          <t>Learning to Cluster Faces via Confidence and Connectivity Estimation</t>
        </is>
      </c>
      <c r="L40" t="inlineStr">
        <is>
          <t>2020 IEEE/CVF Conference on Computer Vision and Pattern Recognition (CVPR)</t>
        </is>
      </c>
      <c r="M40" t="n">
        <v>2020</v>
      </c>
      <c r="N40" t="inlineStr">
        <is>
          <t>10.1109/cvpr42600.2020.01338</t>
        </is>
      </c>
      <c r="O40" t="inlineStr">
        <is>
          <t>NO</t>
        </is>
      </c>
      <c r="P40" s="3" t="n"/>
    </row>
    <row r="41" ht="42" customHeight="1">
      <c r="A41" t="inlineStr">
        <is>
          <t>V040</t>
        </is>
      </c>
      <c r="B41" t="inlineStr">
        <is>
          <t>2016</t>
        </is>
      </c>
      <c r="C41" t="inlineStr">
        <is>
          <t>Arxiv_CS_2016</t>
        </is>
      </c>
      <c r="D41" t="inlineStr">
        <is>
          <t>1604.03968v1.pdf</t>
        </is>
      </c>
      <c r="E41" s="2" t="inlineStr">
        <is>
          <t>Mi- crosoft coco: Common objects in context. In Com- puter Vision–ECCV 2014, pages 740–755. Springer. [Malinowski and Fritz2014] Mateusz Malinowski and Mario Fritz.</t>
        </is>
      </c>
      <c r="F41">
        <f>HYPERLINK("https://scholar.google.com/scholar?q=Mi-+crosoft+coco%3A+Common+objects+in+context.+In+Com-+puter+Vision%E2%80%93ECCV+2014%2C+pages+740%E2%80%93755.+Springer.+%5BMalinowski+and+Fr","search")</f>
        <v/>
      </c>
      <c r="G41" s="3" t="n"/>
      <c r="H41" s="3" t="n"/>
      <c r="I41" s="3" t="n"/>
      <c r="J41" s="3" t="n"/>
      <c r="K41" t="inlineStr">
        <is>
          <t>Microsoft COCO: Common Objects in Context</t>
        </is>
      </c>
      <c r="L41" t="inlineStr">
        <is>
          <t>Lecture Notes in Computer Science</t>
        </is>
      </c>
      <c r="M41" t="n">
        <v>2014</v>
      </c>
      <c r="N41" t="inlineStr">
        <is>
          <t>10.1007/978-3-319-10602-1_48</t>
        </is>
      </c>
      <c r="O41" t="inlineStr">
        <is>
          <t>NO</t>
        </is>
      </c>
      <c r="P41" s="3" t="n"/>
    </row>
    <row r="42" ht="42" customHeight="1">
      <c r="A42" t="inlineStr">
        <is>
          <t>V041</t>
        </is>
      </c>
      <c r="B42" t="inlineStr">
        <is>
          <t>2016</t>
        </is>
      </c>
      <c r="C42" t="inlineStr">
        <is>
          <t>NeurIPS_2016</t>
        </is>
      </c>
      <c r="D42" t="inlineStr">
        <is>
          <t>2c6ae45a3e88aee548c0714fad7f8269-Paper.pdf</t>
        </is>
      </c>
      <c r="E42" s="2" t="inlineStr">
        <is>
          <t>Luc P Devroye, TJ Wagner, et al. Distribution-free consistency results in nonparametric discrimination and regression function estimation. The Annals of Statistics, 8(2):231–239, 1980.</t>
        </is>
      </c>
      <c r="F42">
        <f>HYPERLINK("https://scholar.google.com/scholar?q=Luc+P+Devroye%2C+TJ+Wagner%2C+et+al.+Distribution-free+consistency+results+in+nonparametric+discrimination+and+regression+fu","search")</f>
        <v/>
      </c>
      <c r="G42" s="3" t="n"/>
      <c r="H42" s="3" t="n"/>
      <c r="I42" s="3" t="n"/>
      <c r="J42" s="3" t="n"/>
      <c r="K42" t="inlineStr">
        <is>
          <t>Distribution-Free Consistency Results in Nonparametric Discrimination and Regression Function Estimation</t>
        </is>
      </c>
      <c r="L42" t="inlineStr">
        <is>
          <t>The Annals of Statistics</t>
        </is>
      </c>
      <c r="M42" t="n">
        <v>1980</v>
      </c>
      <c r="N42" t="inlineStr">
        <is>
          <t>10.1214/aos/1176344949</t>
        </is>
      </c>
      <c r="O42" t="inlineStr">
        <is>
          <t>NO</t>
        </is>
      </c>
      <c r="P42" s="3" t="n"/>
    </row>
    <row r="43" ht="42" customHeight="1">
      <c r="A43" t="inlineStr">
        <is>
          <t>V042</t>
        </is>
      </c>
      <c r="B43" t="inlineStr">
        <is>
          <t>2016</t>
        </is>
      </c>
      <c r="C43" t="inlineStr">
        <is>
          <t>Arxiv_Bio_2016</t>
        </is>
      </c>
      <c r="D43" t="inlineStr">
        <is>
          <t>1602.05877v1.pdf</t>
        </is>
      </c>
      <c r="E43" s="2" t="inlineStr">
        <is>
          <t>Siekmann, I., Sneyd, J., and Crampin, E. J. (2014). Statistical analysis of modal gating in ion channels. Proceedings of the Royal Society of London A, 470(2166): 20140030.</t>
        </is>
      </c>
      <c r="F43">
        <f>HYPERLINK("https://scholar.google.com/scholar?q=Siekmann%2C+I.%2C+Sneyd%2C+J.%2C+and+Crampin%2C+E.+J.+%282014%29.+Statistical+analysis+of+modal+gating+in+ion+channels.+Proceedings+of","search")</f>
        <v/>
      </c>
      <c r="G43" s="3" t="n"/>
      <c r="H43" s="3" t="n"/>
      <c r="I43" s="3" t="n"/>
      <c r="J43" s="3" t="n"/>
      <c r="K43" t="inlineStr">
        <is>
          <t>Statistical analysis of modal gating in ion channels</t>
        </is>
      </c>
      <c r="L43" t="inlineStr">
        <is>
          <t>Proceedings of the Royal Society A: Mathematical, Physical and Engineering Sciences</t>
        </is>
      </c>
      <c r="M43" t="n">
        <v>2014</v>
      </c>
      <c r="N43" t="inlineStr">
        <is>
          <t>10.1098/rspa.2014.0030</t>
        </is>
      </c>
      <c r="O43" t="inlineStr">
        <is>
          <t>NO</t>
        </is>
      </c>
      <c r="P43" s="3" t="n"/>
    </row>
    <row r="44" ht="42" customHeight="1">
      <c r="A44" t="inlineStr">
        <is>
          <t>V043</t>
        </is>
      </c>
      <c r="B44" t="inlineStr">
        <is>
          <t>2026</t>
        </is>
      </c>
      <c r="C44" t="inlineStr">
        <is>
          <t>Arxiv_General_Latest</t>
        </is>
      </c>
      <c r="D44" t="inlineStr">
        <is>
          <t>2605.00821v1.pdf</t>
        </is>
      </c>
      <c r="E44" s="2" t="inlineStr">
        <is>
          <t>S. Heydenreich, B. Br¨uck, P. Burger, J. Harnois-D´eraps, S. Unruh, T. Castro et al., Persistent homology in cosmic shear-II. A tomographic analysis of DES-Y1, Astronomy &amp; Astrophysics 667 (2022) A125.</t>
        </is>
      </c>
      <c r="F44">
        <f>HYPERLINK("https://scholar.google.com/scholar?q=S.+Heydenreich%2C+B.+Br%C2%A8uck%2C+P.+Burger%2C+J.+Harnois-D%C2%B4eraps%2C+S.+Unruh%2C+T.+Castro+et+al.%2C+Persistent+homology+in+cosmic+shea","search")</f>
        <v/>
      </c>
      <c r="G44" s="3" t="n"/>
      <c r="H44" s="3" t="n"/>
      <c r="I44" s="3" t="n"/>
      <c r="J44" s="3" t="n"/>
      <c r="K44" t="inlineStr">
        <is>
          <t>Persistent homology in cosmic shear</t>
        </is>
      </c>
      <c r="L44" t="inlineStr">
        <is>
          <t>Astronomy &amp;amp; Astrophysics</t>
        </is>
      </c>
      <c r="M44" t="n">
        <v>2022</v>
      </c>
      <c r="N44" t="inlineStr">
        <is>
          <t>10.1051/0004-6361/202243868</t>
        </is>
      </c>
      <c r="O44" t="inlineStr">
        <is>
          <t>NO</t>
        </is>
      </c>
      <c r="P44" s="3" t="n"/>
    </row>
    <row r="45" ht="42" customHeight="1">
      <c r="A45" t="inlineStr">
        <is>
          <t>V044</t>
        </is>
      </c>
      <c r="B45" t="inlineStr">
        <is>
          <t>2023</t>
        </is>
      </c>
      <c r="C45" t="inlineStr">
        <is>
          <t>NeurIPS_2023</t>
        </is>
      </c>
      <c r="D45" t="inlineStr">
        <is>
          <t>082d3d795520c43214da5123e56a3a34-Paper-Conference.pdf</t>
        </is>
      </c>
      <c r="E45" s="2" t="inlineStr">
        <is>
          <t>Sara Fridovich-Keil, Giacomo Meanti, Frederik Rahbæk Warburg, Benjamin Recht, and Angjoo Kanazawa. K-planes: Explicit radiance fields in space, time, and appearance. In Proceedings of the IEEE/CVF Conference on Computer Vision and Pattern Recognition (CVPR), 2023.</t>
        </is>
      </c>
      <c r="F45">
        <f>HYPERLINK("https://scholar.google.com/scholar?q=Sara+Fridovich-Keil%2C+Giacomo+Meanti%2C+Frederik+Rahb%C3%A6k+Warburg%2C+Benjamin+Recht%2C+and+Angjoo+Kanazawa.+K-planes%3A+Explicit+ra","search")</f>
        <v/>
      </c>
      <c r="G45" s="3" t="n"/>
      <c r="H45" s="3" t="n"/>
      <c r="I45" s="3" t="n"/>
      <c r="J45" s="3" t="n"/>
      <c r="K45" t="inlineStr">
        <is>
          <t>K-Planes: Explicit Radiance Fields in Space, Time, and Appearance</t>
        </is>
      </c>
      <c r="L45" t="inlineStr">
        <is>
          <t>2023 IEEE/CVF Conference on Computer Vision and Pattern Recognition (CVPR)</t>
        </is>
      </c>
      <c r="M45" t="n">
        <v>2023</v>
      </c>
      <c r="N45" t="inlineStr">
        <is>
          <t>10.1109/cvpr52729.2023.01201</t>
        </is>
      </c>
      <c r="O45" t="inlineStr">
        <is>
          <t>YES</t>
        </is>
      </c>
      <c r="P45" s="3" t="n"/>
    </row>
    <row r="46" ht="42" customHeight="1">
      <c r="A46" t="inlineStr">
        <is>
          <t>V045</t>
        </is>
      </c>
      <c r="B46" t="inlineStr">
        <is>
          <t>2023</t>
        </is>
      </c>
      <c r="C46" t="inlineStr">
        <is>
          <t>NeurIPS_2023</t>
        </is>
      </c>
      <c r="D46" t="inlineStr">
        <is>
          <t>03a9a9c1e15850439653bb971a4ad4b3-Paper-Conference.pdf</t>
        </is>
      </c>
      <c r="E46" s="2" t="inlineStr">
        <is>
          <t>F. Topsøe. On the Glivenko-Cantelli theorem. Zeitschrift für Wahrscheinlichkeitstheorie und verwandte Gebiete, 14(3):239–250, 1970.</t>
        </is>
      </c>
      <c r="F46">
        <f>HYPERLINK("https://scholar.google.com/scholar?q=F.+Tops%C3%B8e.+On+the+Glivenko-Cantelli+theorem.+Zeitschrift+f%C3%BCr+Wahrscheinlichkeitstheorie+und+verwandte+Gebiete%2C+14%283%29%3A239","search")</f>
        <v/>
      </c>
      <c r="G46" s="3" t="n"/>
      <c r="H46" s="3" t="n"/>
      <c r="I46" s="3" t="n"/>
      <c r="J46" s="3" t="n"/>
      <c r="K46" t="inlineStr">
        <is>
          <t>On the Glivenko-Cantelli theorem</t>
        </is>
      </c>
      <c r="L46" t="inlineStr">
        <is>
          <t>Zeitschrift f�r Wahrscheinlichkeitstheorie und Verwandte Gebiete</t>
        </is>
      </c>
      <c r="M46" t="n">
        <v>1970</v>
      </c>
      <c r="N46" t="inlineStr">
        <is>
          <t>10.1007/bf01111419</t>
        </is>
      </c>
      <c r="O46" t="inlineStr">
        <is>
          <t>NO</t>
        </is>
      </c>
      <c r="P46" s="3" t="n"/>
    </row>
    <row r="47" ht="42" customHeight="1">
      <c r="A47" t="inlineStr">
        <is>
          <t>V046</t>
        </is>
      </c>
      <c r="B47" t="inlineStr">
        <is>
          <t>2026</t>
        </is>
      </c>
      <c r="C47" t="inlineStr">
        <is>
          <t>Arxiv_General_Latest</t>
        </is>
      </c>
      <c r="D47" t="inlineStr">
        <is>
          <t>2604.04135v2.pdf</t>
        </is>
      </c>
      <c r="E47" s="2" t="inlineStr">
        <is>
          <t>Xining Ge, Weijun Yuan, Gengjia Chang, Xuyang Li, and Shuhong Liu. Clip-guided data augmentation for night-time image dehazing. arXiv preprint arXiv:2604.05500, 2026. 1</t>
        </is>
      </c>
      <c r="F47">
        <f>HYPERLINK("https://scholar.google.com/scholar?q=Xining+Ge%2C+Weijun+Yuan%2C+Gengjia+Chang%2C+Xuyang+Li%2C+and+Shuhong+Liu.+Clip-guided+data+augmentation+for+night-time+image+de","search")</f>
        <v/>
      </c>
      <c r="G47" s="3" t="n"/>
      <c r="H47" s="3" t="n"/>
      <c r="I47" s="3" t="n"/>
      <c r="J47" s="3" t="n"/>
      <c r="K47" t="inlineStr">
        <is>
          <t>ArXiv preprint server clamps down on AI slop</t>
        </is>
      </c>
      <c r="L47" t="inlineStr">
        <is>
          <t>AAAS Articles DO Group</t>
        </is>
      </c>
      <c r="M47" t="n">
        <v>2026</v>
      </c>
      <c r="N47" t="inlineStr">
        <is>
          <t>10.1126/science.z66g9k7</t>
        </is>
      </c>
      <c r="O47" t="inlineStr">
        <is>
          <t>YES</t>
        </is>
      </c>
      <c r="P47" s="3" t="n"/>
    </row>
    <row r="48" ht="42" customHeight="1">
      <c r="A48" t="inlineStr">
        <is>
          <t>V047</t>
        </is>
      </c>
      <c r="B48" t="inlineStr">
        <is>
          <t>2025</t>
        </is>
      </c>
      <c r="C48" t="inlineStr">
        <is>
          <t>Arxiv_CS_2025</t>
        </is>
      </c>
      <c r="D48" t="inlineStr">
        <is>
          <t>2501.11284v1.pdf</t>
        </is>
      </c>
      <c r="E48" s="2" t="inlineStr">
        <is>
          <t>Baptiste Roziere, Jonas Gehring, Fabian Gloeckle, Sten Sootla, Itai Gat, Xiaoqing Ellen Tan, Yossi Adi, Jingyu Liu, Tal Remez, Jérémy Rapin, et al. Code llama: Open foundation models for code. arXiv preprint arXiv:2308.12950, 2023.</t>
        </is>
      </c>
      <c r="F48">
        <f>HYPERLINK("https://scholar.google.com/scholar?q=Baptiste+Roziere%2C+Jonas+Gehring%2C+Fabian+Gloeckle%2C+Sten+Sootla%2C+Itai+Gat%2C+Xiaoqing+Ellen+Tan%2C+Yossi+Adi%2C+Jingyu+Liu%2C+Tal+","search")</f>
        <v/>
      </c>
      <c r="G48" s="3" t="n"/>
      <c r="H48" s="3" t="n"/>
      <c r="I48" s="3" t="n"/>
      <c r="J48" s="3" t="n"/>
      <c r="K48" t="inlineStr">
        <is>
          <t>Author response for "Symptom‐based case definitions for COVID‐19: Time and geographical variations for detection at hospital admission among 260,000 patients"</t>
        </is>
      </c>
      <c r="L48" t="n">
        <v/>
      </c>
      <c r="M48" t="n">
        <v>2022</v>
      </c>
      <c r="N48" t="inlineStr">
        <is>
          <t>10.1111/irv.13039/v2/response1</t>
        </is>
      </c>
      <c r="O48" t="inlineStr">
        <is>
          <t>NO</t>
        </is>
      </c>
      <c r="P48" s="3" t="n"/>
    </row>
    <row r="49" ht="42" customHeight="1">
      <c r="A49" t="inlineStr">
        <is>
          <t>V048</t>
        </is>
      </c>
      <c r="B49" t="inlineStr">
        <is>
          <t>2025</t>
        </is>
      </c>
      <c r="C49" t="inlineStr">
        <is>
          <t>Arxiv_CS_2025</t>
        </is>
      </c>
      <c r="D49" t="inlineStr">
        <is>
          <t>2502.05239v1.pdf</t>
        </is>
      </c>
      <c r="E49" s="2" t="inlineStr">
        <is>
          <t>M. Trajanoska, R. Stojanov, D. Trajanov, Enhancing knowledge graph construc- tion using large language models, arXiv preprint arXiv:2305.04676 (2023).</t>
        </is>
      </c>
      <c r="F49">
        <f>HYPERLINK("https://scholar.google.com/scholar?q=M.+Trajanoska%2C+R.+Stojanov%2C+D.+Trajanov%2C+Enhancing+knowledge+graph+construc-+tion+using+large+language+models%2C+arXiv+pre","search")</f>
        <v/>
      </c>
      <c r="G49" s="3" t="n"/>
      <c r="H49" s="3" t="n"/>
      <c r="I49" s="3" t="n"/>
      <c r="J49" s="3" t="n"/>
      <c r="K49" t="inlineStr">
        <is>
          <t>Comment on the Paper Titled ’The Origin of Quantum Mechanical Statistics: Insights from Research on Human Language’ (arXiv preprint arXiv:2407.14924, 2024)</t>
        </is>
      </c>
      <c r="L49" t="n">
        <v/>
      </c>
      <c r="M49" t="n">
        <v>2024</v>
      </c>
      <c r="N49" t="inlineStr">
        <is>
          <t>10.20944/preprints202411.2377.v1</t>
        </is>
      </c>
      <c r="O49" t="inlineStr">
        <is>
          <t>NO</t>
        </is>
      </c>
      <c r="P49" s="3" t="n"/>
    </row>
    <row r="50" ht="42" customHeight="1">
      <c r="A50" t="inlineStr">
        <is>
          <t>V049</t>
        </is>
      </c>
      <c r="B50" t="inlineStr">
        <is>
          <t>2016</t>
        </is>
      </c>
      <c r="C50" t="inlineStr">
        <is>
          <t>Arxiv_Bio_2016</t>
        </is>
      </c>
      <c r="D50" t="inlineStr">
        <is>
          <t>1606.01932v2.pdf</t>
        </is>
      </c>
      <c r="E50" s="2" t="inlineStr">
        <is>
          <t>R. Ni and N. T. Ouellette, “On the tensile strength of insect swarms,” Phys. Biol., vol. 13, no. 4, 2016, Art. no. 045002.</t>
        </is>
      </c>
      <c r="F50">
        <f>HYPERLINK("https://scholar.google.com/scholar?q=R.+Ni+and+N.+T.+Ouellette%2C+%E2%80%9COn+the+tensile+strength+of+insect+swarms%2C%E2%80%9D+Phys.+Biol.%2C+vol.+13%2C+no.+4%2C+2016%2C+Art.+no.+04500","search")</f>
        <v/>
      </c>
      <c r="G50" s="3" t="n"/>
      <c r="H50" s="3" t="n"/>
      <c r="I50" s="3" t="n"/>
      <c r="J50" s="3" t="n"/>
      <c r="K50" t="inlineStr">
        <is>
          <t>On the tensile strength of insect swarms</t>
        </is>
      </c>
      <c r="L50" t="inlineStr">
        <is>
          <t>Physical Biology</t>
        </is>
      </c>
      <c r="M50" t="n">
        <v>2016</v>
      </c>
      <c r="N50" t="inlineStr">
        <is>
          <t>10.1088/1478-3975/13/4/045002</t>
        </is>
      </c>
      <c r="O50" t="inlineStr">
        <is>
          <t>NO</t>
        </is>
      </c>
      <c r="P50" s="3" t="n"/>
    </row>
    <row r="51" ht="42" customHeight="1">
      <c r="A51" t="inlineStr">
        <is>
          <t>V050</t>
        </is>
      </c>
      <c r="B51" t="inlineStr">
        <is>
          <t>2016</t>
        </is>
      </c>
      <c r="C51" t="inlineStr">
        <is>
          <t>NeurIPS_2016</t>
        </is>
      </c>
      <c r="D51" t="inlineStr">
        <is>
          <t>3c1e4bd67169b8153e0047536c9f541e-Paper.pdf</t>
        </is>
      </c>
      <c r="E51" s="2" t="inlineStr">
        <is>
          <t>Robert Kleinberg. A multiple-choice secretary algorithm with applications to online auctions. In Proceedings of the sixteenth annual ACM-SIAM symposium on Discrete algorithms, pages 630–631. Society for Industrial and Applied Mathematics, 2005.</t>
        </is>
      </c>
      <c r="F51">
        <f>HYPERLINK("https://scholar.google.com/scholar?q=Robert+Kleinberg.+A+multiple-choice+secretary+algorithm+with+applications+to+online+auctions.+In+Proceedings+of+the+sixt","search")</f>
        <v/>
      </c>
      <c r="G51" s="3" t="n"/>
      <c r="H51" s="3" t="n"/>
      <c r="I51" s="3" t="n"/>
      <c r="J51" s="3" t="n"/>
      <c r="K51" t="inlineStr">
        <is>
          <t>Anytime algorithms for multi-armed bandit problems</t>
        </is>
      </c>
      <c r="L51" t="inlineStr">
        <is>
          <t>Proceedings of the seventeenth annual ACM-SIAM symposium on Discrete algorithm  - SODA '06</t>
        </is>
      </c>
      <c r="M51" t="n">
        <v>2006</v>
      </c>
      <c r="N51" t="inlineStr">
        <is>
          <t>10.1145/1109557.1109659</t>
        </is>
      </c>
      <c r="O51" t="inlineStr">
        <is>
          <t>NO</t>
        </is>
      </c>
      <c r="P51" s="3" t="n"/>
    </row>
    <row r="52" ht="42" customHeight="1">
      <c r="A52" t="inlineStr">
        <is>
          <t>V051</t>
        </is>
      </c>
      <c r="B52" t="inlineStr">
        <is>
          <t>2023</t>
        </is>
      </c>
      <c r="C52" t="inlineStr">
        <is>
          <t>Arxiv_CS_2023</t>
        </is>
      </c>
      <c r="D52" t="inlineStr">
        <is>
          <t>2312.14438v1.pdf</t>
        </is>
      </c>
      <c r="E52" s="2" t="inlineStr">
        <is>
          <t>Geom-GCN: Geometric Graph Convolutional Net- works. In International Conference on Learning Represen- tations.  Suresh, S.; Budde, V.; Neville, J.; Li, P.; and Ma, J. 2021. Breaking the Limit of Graph Neural Networks by Improv- ing the Assortativity of Graphs with Local Mixing Patterns. In Proceedings of the 27th ACM SIGKDD Conference on Knowledge Discovery &amp; Data Mining. Truesdell, C. 1947. A Note on the Poisson-Charlier Func- tions. The Annals of Mathematical Statistics, 18(3): 450–</t>
        </is>
      </c>
      <c r="F52">
        <f>HYPERLINK("https://scholar.google.com/scholar?q=Geom-GCN%3A+Geometric+Graph+Convolutional+Net-+works.+In+International+Conference+on+Learning+Represen-+tations.++Suresh%2C+","search")</f>
        <v/>
      </c>
      <c r="G52" s="3" t="n"/>
      <c r="H52" s="3" t="n"/>
      <c r="I52" s="3" t="n"/>
      <c r="J52" s="3" t="n"/>
      <c r="K52" t="inlineStr">
        <is>
          <t>Breaking the Limit of Graph Neural Networks by Improving the Assortativity of Graphs with Local Mixing Patterns</t>
        </is>
      </c>
      <c r="L52" t="inlineStr">
        <is>
          <t>Proceedings of the 27th ACM SIGKDD Conference on Knowledge Discovery &amp;amp; Data Mining</t>
        </is>
      </c>
      <c r="M52" t="n">
        <v>2021</v>
      </c>
      <c r="N52" t="inlineStr">
        <is>
          <t>10.1145/3447548.3467373</t>
        </is>
      </c>
      <c r="O52" t="inlineStr">
        <is>
          <t>NO</t>
        </is>
      </c>
      <c r="P52" s="3" t="n"/>
    </row>
    <row r="53" ht="42" customHeight="1">
      <c r="A53" t="inlineStr">
        <is>
          <t>V052</t>
        </is>
      </c>
      <c r="B53" t="inlineStr">
        <is>
          <t>2023</t>
        </is>
      </c>
      <c r="C53" t="inlineStr">
        <is>
          <t>NeurIPS_2023</t>
        </is>
      </c>
      <c r="D53" t="inlineStr">
        <is>
          <t>088d99765bc121c6df215da7d45bc4e9-Paper-Conference.pdf</t>
        </is>
      </c>
      <c r="E53" s="2" t="inlineStr">
        <is>
          <t>Doyup Lee, Sungwoong Kim, Ildoo Kim, Yeongjae Cheon, Minsu Cho, and Wook-Shin Han. Contrastive regularization for semi-supervised learning. In Proceedings of the IEEE/CVF Conference on Computer Vision and Pattern Recognition, pages 3911–3920, 2022.</t>
        </is>
      </c>
      <c r="F53">
        <f>HYPERLINK("https://scholar.google.com/scholar?q=Doyup+Lee%2C+Sungwoong+Kim%2C+Ildoo+Kim%2C+Yeongjae+Cheon%2C+Minsu+Cho%2C+and+Wook-Shin+Han.+Contrastive+regularization+for+semi-s","search")</f>
        <v/>
      </c>
      <c r="G53" s="3" t="n"/>
      <c r="H53" s="3" t="n"/>
      <c r="I53" s="3" t="n"/>
      <c r="J53" s="3" t="n"/>
      <c r="K53" t="inlineStr">
        <is>
          <t>Contrastive Regularization for Semi-Supervised Learning</t>
        </is>
      </c>
      <c r="L53" t="inlineStr">
        <is>
          <t>2022 IEEE/CVF Conference on Computer Vision and Pattern Recognition Workshops (CVPRW)</t>
        </is>
      </c>
      <c r="M53" t="n">
        <v>2022</v>
      </c>
      <c r="N53" t="inlineStr">
        <is>
          <t>10.1109/cvprw56347.2022.00436</t>
        </is>
      </c>
      <c r="O53" t="inlineStr">
        <is>
          <t>NO</t>
        </is>
      </c>
      <c r="P53" s="3" t="n"/>
    </row>
    <row r="54" ht="42" customHeight="1">
      <c r="A54" t="inlineStr">
        <is>
          <t>V053</t>
        </is>
      </c>
      <c r="B54" t="inlineStr">
        <is>
          <t>2016</t>
        </is>
      </c>
      <c r="C54" t="inlineStr">
        <is>
          <t>Arxiv_CS_2016</t>
        </is>
      </c>
      <c r="D54" t="inlineStr">
        <is>
          <t>1604.06641v1.pdf</t>
        </is>
      </c>
      <c r="E54" s="2" t="inlineStr">
        <is>
          <t>C. Lecoutre and R. Szymanek. Generalized arc consistency for positive table con- straints. In Proceedings of CP’06, pages 284–298, 2006.</t>
        </is>
      </c>
      <c r="F54">
        <f>HYPERLINK("https://scholar.google.com/scholar?q=C.+Lecoutre+and+R.+Szymanek.+Generalized+arc+consistency+for+positive+table+con-+straints.+In+Proceedings+of+CP%E2%80%9906%2C+page","search")</f>
        <v/>
      </c>
      <c r="G54" s="3" t="n"/>
      <c r="H54" s="3" t="n"/>
      <c r="I54" s="3" t="n"/>
      <c r="J54" s="3" t="n"/>
      <c r="K54" t="inlineStr">
        <is>
          <t>Generalized Arc Consistency for Positive Table Constraints</t>
        </is>
      </c>
      <c r="L54" t="inlineStr">
        <is>
          <t>Lecture Notes in Computer Science</t>
        </is>
      </c>
      <c r="M54" t="n">
        <v>2006</v>
      </c>
      <c r="N54" t="inlineStr">
        <is>
          <t>10.1007/11889205_22</t>
        </is>
      </c>
      <c r="O54" t="inlineStr">
        <is>
          <t>YES</t>
        </is>
      </c>
      <c r="P54" s="3" t="n"/>
    </row>
    <row r="55" ht="42" customHeight="1">
      <c r="A55" t="inlineStr">
        <is>
          <t>V054</t>
        </is>
      </c>
      <c r="B55" t="inlineStr">
        <is>
          <t>2023</t>
        </is>
      </c>
      <c r="C55" t="inlineStr">
        <is>
          <t>Arxiv_CS_2023</t>
        </is>
      </c>
      <c r="D55" t="inlineStr">
        <is>
          <t>2312.03785v1.pdf</t>
        </is>
      </c>
      <c r="E55" s="2" t="inlineStr">
        <is>
          <t>J. Bai, C. Zhou, J. Song, X. Qu, W. An, Z. Li, and J. Gao. Personalized Bundle List Recommendation. In The World Wide Web Conference, WWW ’19, pages 60–71. ACM,</t>
        </is>
      </c>
      <c r="F55">
        <f>HYPERLINK("https://scholar.google.com/scholar?q=J.+Bai%2C+C.+Zhou%2C+J.+Song%2C+X.+Qu%2C+W.+An%2C+Z.+Li%2C+and+J.+Gao.+Personalized+Bundle+List+Recommendation.+In+The+World+Wide+We","search")</f>
        <v/>
      </c>
      <c r="G55" s="3" t="n"/>
      <c r="H55" s="3" t="n"/>
      <c r="I55" s="3" t="n"/>
      <c r="J55" s="3" t="n"/>
      <c r="K55" t="inlineStr">
        <is>
          <t>Personalized Bundle List Recommendation</t>
        </is>
      </c>
      <c r="L55" t="inlineStr">
        <is>
          <t>The World Wide Web Conference</t>
        </is>
      </c>
      <c r="M55" t="n">
        <v>2019</v>
      </c>
      <c r="N55" t="inlineStr">
        <is>
          <t>10.1145/3308558.3313568</t>
        </is>
      </c>
      <c r="O55" t="inlineStr">
        <is>
          <t>NO</t>
        </is>
      </c>
      <c r="P55" s="3" t="n"/>
    </row>
    <row r="56" ht="42" customHeight="1">
      <c r="A56" t="inlineStr">
        <is>
          <t>V055</t>
        </is>
      </c>
      <c r="B56" t="inlineStr">
        <is>
          <t>2016</t>
        </is>
      </c>
      <c r="C56" t="inlineStr">
        <is>
          <t>Arxiv_Bio_2016</t>
        </is>
      </c>
      <c r="D56" t="inlineStr">
        <is>
          <t>1606.00965v1.pdf</t>
        </is>
      </c>
      <c r="E56" s="2" t="inlineStr">
        <is>
          <t>P. Zou, Palindromic assembly of the giant muscle protein titin in the sarcomeric Z-disk, Nature 439, 229-233, (2006)</t>
        </is>
      </c>
      <c r="F56">
        <f>HYPERLINK("https://scholar.google.com/scholar?q=P.+Zou%2C+Palindromic+assembly+of+the+giant+muscle+protein+titin+in+the+sarcomeric+Z-disk%2C+Nature+439%2C+229-233%2C+%282006%29","search")</f>
        <v/>
      </c>
      <c r="G56" s="3" t="n"/>
      <c r="H56" s="3" t="n"/>
      <c r="I56" s="3" t="n"/>
      <c r="J56" s="3" t="n"/>
      <c r="K56" t="inlineStr">
        <is>
          <t>Palindromic assembly of the giant muscle protein titin in the sarcomeric Z-disk</t>
        </is>
      </c>
      <c r="L56" t="inlineStr">
        <is>
          <t>Nature</t>
        </is>
      </c>
      <c r="M56" t="n">
        <v>2006</v>
      </c>
      <c r="N56" t="inlineStr">
        <is>
          <t>10.1038/nature04343</t>
        </is>
      </c>
      <c r="O56" t="inlineStr">
        <is>
          <t>NO</t>
        </is>
      </c>
      <c r="P56" s="3" t="n"/>
    </row>
    <row r="57" ht="42" customHeight="1">
      <c r="A57" t="inlineStr">
        <is>
          <t>V056</t>
        </is>
      </c>
      <c r="B57" t="inlineStr">
        <is>
          <t>2016</t>
        </is>
      </c>
      <c r="C57" t="inlineStr">
        <is>
          <t>Arxiv_CS_2016</t>
        </is>
      </c>
      <c r="D57" t="inlineStr">
        <is>
          <t>1608.07793v2.pdf</t>
        </is>
      </c>
      <c r="E57" s="2" t="inlineStr">
        <is>
          <t>Y. Yue, S. A. Hong, and C. Guestrin. Hierarchical exploration for accelerating contextual bandits. In The 29th International Conference on Machine Learning, 2012.</t>
        </is>
      </c>
      <c r="F57">
        <f>HYPERLINK("https://scholar.google.com/scholar?q=Y.+Yue%2C+S.+A.+Hong%2C+and+C.+Guestrin.+Hierarchical+exploration+for+accelerating+contextual+bandits.+In+The+29th+Internati","search")</f>
        <v/>
      </c>
      <c r="G57" s="3" t="n"/>
      <c r="H57" s="3" t="n"/>
      <c r="I57" s="3" t="n"/>
      <c r="J57" s="3" t="n"/>
      <c r="K57" t="inlineStr">
        <is>
          <t>Nonmyopic active learning of Gaussian processes</t>
        </is>
      </c>
      <c r="L57" t="inlineStr">
        <is>
          <t>Proceedings of the 24th international conference on Machine learning</t>
        </is>
      </c>
      <c r="M57" t="n">
        <v>2007</v>
      </c>
      <c r="N57" t="inlineStr">
        <is>
          <t>10.1145/1273496.1273553</t>
        </is>
      </c>
      <c r="O57" t="inlineStr">
        <is>
          <t>NO</t>
        </is>
      </c>
      <c r="P57" s="3" t="n"/>
    </row>
    <row r="58" ht="42" customHeight="1">
      <c r="A58" t="inlineStr">
        <is>
          <t>V057</t>
        </is>
      </c>
      <c r="B58" t="inlineStr">
        <is>
          <t>2016</t>
        </is>
      </c>
      <c r="C58" t="inlineStr">
        <is>
          <t>Arxiv_CS_2016</t>
        </is>
      </c>
      <c r="D58" t="inlineStr">
        <is>
          <t>1608.02315v2.pdf</t>
        </is>
      </c>
      <c r="E58" s="2" t="inlineStr">
        <is>
          <t>S. Shakya, R. Santana, J. Lozano, A markovianity based optimisation al- gorithm, Genetic Programming and Evolvable Machines 13 (2) (2012) 159–</t>
        </is>
      </c>
      <c r="F58">
        <f>HYPERLINK("https://scholar.google.com/scholar?q=S.+Shakya%2C+R.+Santana%2C+J.+Lozano%2C+A+markovianity+based+optimisation+al-+gorithm%2C+Genetic+Programming+and+Evolvable+Machi","search")</f>
        <v/>
      </c>
      <c r="G58" s="3" t="n"/>
      <c r="H58" s="3" t="n"/>
      <c r="I58" s="3" t="n"/>
      <c r="J58" s="3" t="n"/>
      <c r="K58" t="inlineStr">
        <is>
          <t>A Markovianity based optimisation algorithm</t>
        </is>
      </c>
      <c r="L58" t="inlineStr">
        <is>
          <t>Genetic Programming and Evolvable Machines</t>
        </is>
      </c>
      <c r="M58" t="n">
        <v>2011</v>
      </c>
      <c r="N58" t="inlineStr">
        <is>
          <t>10.1007/s10710-011-9149-y</t>
        </is>
      </c>
      <c r="O58" t="inlineStr">
        <is>
          <t>NO</t>
        </is>
      </c>
      <c r="P58" s="3" t="n"/>
    </row>
    <row r="59" ht="42" customHeight="1">
      <c r="A59" t="inlineStr">
        <is>
          <t>V058</t>
        </is>
      </c>
      <c r="B59" t="inlineStr">
        <is>
          <t>2023</t>
        </is>
      </c>
      <c r="C59" t="inlineStr">
        <is>
          <t>NeurIPS_2023</t>
        </is>
      </c>
      <c r="D59" t="inlineStr">
        <is>
          <t>0207c9ea9faf66c6e892c3fa3c167b75-Paper-Conference.pdf</t>
        </is>
      </c>
      <c r="E59" s="2" t="inlineStr">
        <is>
          <t>Sanjay Kariyappa, Atul Prakash, and Moinuddin K Qureshi. Maze: Data-free model stealing attack using zeroth-order gradient estimation. In 2021 IEEE/CVF Conference on Computer Vision and Pattern Recognition (CVPR), 2021.</t>
        </is>
      </c>
      <c r="F59">
        <f>HYPERLINK("https://scholar.google.com/scholar?q=Sanjay+Kariyappa%2C+Atul+Prakash%2C+and+Moinuddin+K+Qureshi.+Maze%3A+Data-free+model+stealing+attack+using+zeroth-order+gradie","search")</f>
        <v/>
      </c>
      <c r="G59" s="3" t="n"/>
      <c r="H59" s="3" t="n"/>
      <c r="I59" s="3" t="n"/>
      <c r="J59" s="3" t="n"/>
      <c r="K59" t="inlineStr">
        <is>
          <t>MAZE: Data-Free Model Stealing Attack Using Zeroth-Order Gradient Estimation</t>
        </is>
      </c>
      <c r="L59" t="inlineStr">
        <is>
          <t>2021 IEEE/CVF Conference on Computer Vision and Pattern Recognition (CVPR)</t>
        </is>
      </c>
      <c r="M59" t="n">
        <v>2021</v>
      </c>
      <c r="N59" t="inlineStr">
        <is>
          <t>10.1109/cvpr46437.2021.01360</t>
        </is>
      </c>
      <c r="O59" t="inlineStr">
        <is>
          <t>NO</t>
        </is>
      </c>
      <c r="P59" s="3" t="n"/>
    </row>
    <row r="60" ht="42" customHeight="1">
      <c r="A60" t="inlineStr">
        <is>
          <t>V059</t>
        </is>
      </c>
      <c r="B60" t="inlineStr">
        <is>
          <t>2016</t>
        </is>
      </c>
      <c r="C60" t="inlineStr">
        <is>
          <t>Arxiv_CS_2016</t>
        </is>
      </c>
      <c r="D60" t="inlineStr">
        <is>
          <t>1612.02526v5.pdf</t>
        </is>
      </c>
      <c r="E60" s="2" t="inlineStr">
        <is>
          <t>M. W. Seeger, S. M. Kakade, and D. P. Foster. Worst-case bounds for some non-parametric bayesian methods, 2005.</t>
        </is>
      </c>
      <c r="F60">
        <f>HYPERLINK("https://scholar.google.com/scholar?q=M.+W.+Seeger%2C+S.+M.+Kakade%2C+and+D.+P.+Foster.+Worst-case+bounds+for+some+non-parametric+bayesian+methods%2C+2005.","search")</f>
        <v/>
      </c>
      <c r="G60" s="3" t="n"/>
      <c r="H60" s="3" t="n"/>
      <c r="I60" s="3" t="n"/>
      <c r="J60" s="3" t="n"/>
      <c r="K60" t="inlineStr">
        <is>
          <t>Some worst-case bounds for Bayesian estimators of discrete distributions</t>
        </is>
      </c>
      <c r="L60" t="inlineStr">
        <is>
          <t>2013 IEEE International Symposium on Information Theory</t>
        </is>
      </c>
      <c r="M60" t="n">
        <v>2013</v>
      </c>
      <c r="N60" t="inlineStr">
        <is>
          <t>10.1109/isit.2013.6620615</t>
        </is>
      </c>
      <c r="O60" t="inlineStr">
        <is>
          <t>YES</t>
        </is>
      </c>
      <c r="P60" s="3" t="n"/>
    </row>
    <row r="61" ht="42" customHeight="1">
      <c r="A61" t="inlineStr">
        <is>
          <t>V060</t>
        </is>
      </c>
      <c r="B61" t="inlineStr">
        <is>
          <t>2026</t>
        </is>
      </c>
      <c r="C61" t="inlineStr">
        <is>
          <t>Arxiv_General_Latest</t>
        </is>
      </c>
      <c r="D61" t="inlineStr">
        <is>
          <t>2604.19542v1.pdf</t>
        </is>
      </c>
      <c r="E61" s="2" t="inlineStr">
        <is>
          <t>Y. Liu, X. Ma, J. Wei, and W. Wu. Entire solutions of the magnetic Ginzburg-Landau equation in R4. arXiv preprint arXiv:2108.02754, 2021.</t>
        </is>
      </c>
      <c r="F61">
        <f>HYPERLINK("https://scholar.google.com/scholar?q=Y.+Liu%2C+X.+Ma%2C+J.+Wei%2C+and+W.+Wu.+Entire+solutions+of+the+magnetic+Ginzburg-Landau+equation+in+R4.+arXiv+preprint+arXiv%3A","search")</f>
        <v/>
      </c>
      <c r="G61" s="3" t="n"/>
      <c r="H61" s="3" t="n"/>
      <c r="I61" s="3" t="n"/>
      <c r="J61" s="3" t="n"/>
      <c r="K61" t="inlineStr">
        <is>
          <t>Entire solutions of the magnetic Ginzburg-Landau equation in R4</t>
        </is>
      </c>
      <c r="L61" t="inlineStr">
        <is>
          <t>ANNALI SCUOLA NORMALE SUPERIORE - CLASSE DI SCIENZE</t>
        </is>
      </c>
      <c r="M61" t="n">
        <v>2025</v>
      </c>
      <c r="N61" t="inlineStr">
        <is>
          <t>10.2422/2036-2145.202209_005</t>
        </is>
      </c>
      <c r="O61" t="inlineStr">
        <is>
          <t>NO</t>
        </is>
      </c>
      <c r="P61" s="3" t="n"/>
    </row>
    <row r="62" ht="42" customHeight="1">
      <c r="A62" t="inlineStr">
        <is>
          <t>V061</t>
        </is>
      </c>
      <c r="B62" t="inlineStr">
        <is>
          <t>2026</t>
        </is>
      </c>
      <c r="C62" t="inlineStr">
        <is>
          <t>Arxiv_General_Latest</t>
        </is>
      </c>
      <c r="D62" t="inlineStr">
        <is>
          <t>2603.12673v2.pdf</t>
        </is>
      </c>
      <c r="E62" s="2" t="inlineStr">
        <is>
          <t>W. Chen, T.A. Dao, Sharp lifespan estimates for the weakly coupled system of semilinear damped wave equations in the critical case, Math. Ann., 385 (2023), 101-130.</t>
        </is>
      </c>
      <c r="F62">
        <f>HYPERLINK("https://scholar.google.com/scholar?q=W.+Chen%2C+T.A.+Dao%2C+Sharp+lifespan+estimates+for+the+weakly+coupled+system+of+semilinear+damped+wave+equations+in+the+cri","search")</f>
        <v/>
      </c>
      <c r="G62" s="3" t="n"/>
      <c r="H62" s="3" t="n"/>
      <c r="I62" s="3" t="n"/>
      <c r="J62" s="3" t="n"/>
      <c r="K62" t="inlineStr">
        <is>
          <t>Sharp lifespan estimates for the weakly coupled system of semilinear damped wave equations in the critical case</t>
        </is>
      </c>
      <c r="L62" t="inlineStr">
        <is>
          <t>Mathematische Annalen</t>
        </is>
      </c>
      <c r="M62" t="n">
        <v>2022</v>
      </c>
      <c r="N62" t="inlineStr">
        <is>
          <t>10.1007/s00208-021-02335-y</t>
        </is>
      </c>
      <c r="O62" t="inlineStr">
        <is>
          <t>YES</t>
        </is>
      </c>
      <c r="P62" s="3" t="n"/>
    </row>
    <row r="63" ht="42" customHeight="1">
      <c r="A63" t="inlineStr">
        <is>
          <t>V062</t>
        </is>
      </c>
      <c r="B63" t="inlineStr">
        <is>
          <t>2016</t>
        </is>
      </c>
      <c r="C63" t="inlineStr">
        <is>
          <t>Arxiv_Bio_2016</t>
        </is>
      </c>
      <c r="D63" t="inlineStr">
        <is>
          <t>1609.04636v2.pdf</t>
        </is>
      </c>
      <c r="E63" s="2" t="inlineStr">
        <is>
          <t>http://doi.org/10.1093/brain/60.4.389  Rao, S. M., Binder, J. R., Hammeke, T. A., Bandettini, P. A., Bobholz, J. A., Frost, J. A., … Hyde, J. S.  (1995). Somatotopic mapping of the human primary motor cortex with functional magnetic  resonance imaging. Neurology, 45(May), 919–924.  Robinson, E. C., Jbabdi, S., Glasser, M. F., Andersson, J., Burgess, G. C., Harms, M. P., … Jenkinson, M.  (2014). MSM: A new flexible framework for multimodal surface matching. NeuroImage, 100, 414–</t>
        </is>
      </c>
      <c r="F63">
        <f>HYPERLINK("https://scholar.google.com/scholar?q=http%3A%2F%2Fdoi.org%2F10.1093%2Fbrain%2F60.4.389%C2%A0+Rao%2C%C2%A0S.%C2%A0M.%2C%C2%A0Binder%2C%C2%A0J.%C2%A0R.%2C%C2%A0Hammeke%2C%C2%A0T.%C2%A0A.%2C%C2%A0Bandettini%2C%C2%A0P.%C2%A0A.%2C%C2%A0Bobholz%2C%C2%A0J.%C2%A0A.%2C%C2%A0Fro","search")</f>
        <v/>
      </c>
      <c r="G63" s="3" t="n"/>
      <c r="H63" s="3" t="n"/>
      <c r="I63" s="3" t="n"/>
      <c r="J63" s="3" t="n"/>
      <c r="K63" t="inlineStr">
        <is>
          <t>Somatotopic mapping of the human primary motor cortex with functional magnetic resonance imaging</t>
        </is>
      </c>
      <c r="L63" t="inlineStr">
        <is>
          <t>Neurology</t>
        </is>
      </c>
      <c r="M63" t="n">
        <v>1995</v>
      </c>
      <c r="N63" t="inlineStr">
        <is>
          <t>10.1212/wnl.45.5.919</t>
        </is>
      </c>
      <c r="O63" t="inlineStr">
        <is>
          <t>NO</t>
        </is>
      </c>
      <c r="P63" s="3" t="n"/>
    </row>
    <row r="64" ht="42" customHeight="1">
      <c r="A64" t="inlineStr">
        <is>
          <t>V063</t>
        </is>
      </c>
      <c r="B64" t="inlineStr">
        <is>
          <t>2026</t>
        </is>
      </c>
      <c r="C64" t="inlineStr">
        <is>
          <t>Arxiv_General_Latest</t>
        </is>
      </c>
      <c r="D64" t="inlineStr">
        <is>
          <t>2604.17542v1.pdf</t>
        </is>
      </c>
      <c r="E64" s="2" t="inlineStr">
        <is>
          <t>Zekun Zhang and Minh Hoai. Object detection with self- supervised scene adaptation. In Proceedings of the IEEE Conference on Computer Vision and Pattern Recognition,</t>
        </is>
      </c>
      <c r="F64">
        <f>HYPERLINK("https://scholar.google.com/scholar?q=Zekun+Zhang+and+Minh+Hoai.+Object+detection+with+self-+supervised+scene+adaptation.+In+Proceedings+of+the+IEEE+Conferenc","search")</f>
        <v/>
      </c>
      <c r="G64" s="3" t="n"/>
      <c r="H64" s="3" t="n"/>
      <c r="I64" s="3" t="n"/>
      <c r="J64" s="3" t="n"/>
      <c r="K64" t="inlineStr">
        <is>
          <t>Object Detection with Self-Supervised Scene Adaptation</t>
        </is>
      </c>
      <c r="L64" t="inlineStr">
        <is>
          <t>2023 IEEE/CVF Conference on Computer Vision and Pattern Recognition (CVPR)</t>
        </is>
      </c>
      <c r="M64" t="n">
        <v>2023</v>
      </c>
      <c r="N64" t="inlineStr">
        <is>
          <t>10.1109/cvpr52729.2023.02068</t>
        </is>
      </c>
      <c r="O64" t="inlineStr">
        <is>
          <t>NO</t>
        </is>
      </c>
      <c r="P64" s="3" t="n"/>
    </row>
    <row r="65" ht="42" customHeight="1">
      <c r="A65" t="inlineStr">
        <is>
          <t>V064</t>
        </is>
      </c>
      <c r="B65" t="inlineStr">
        <is>
          <t>2016</t>
        </is>
      </c>
      <c r="C65" t="inlineStr">
        <is>
          <t>NeurIPS_2016</t>
        </is>
      </c>
      <c r="D65" t="inlineStr">
        <is>
          <t>20c9f5700da1088260df60fcc5df2b53-Paper.pdf</t>
        </is>
      </c>
      <c r="E65" s="2" t="inlineStr">
        <is>
          <t>Tim Salimans, Diederik Kingma, and Max Welling. Markov chain monte carlo and variational inference: Bridging the gap. In David Blei and Francis Bach, editors, Proceedings of the 32nd International Confer- ence on Machine Learning (ICML-15), pages 1218–1226. JMLR Workshop and Conference Proceedings,</t>
        </is>
      </c>
      <c r="F65">
        <f>HYPERLINK("https://scholar.google.com/scholar?q=Tim+Salimans%2C+Diederik+Kingma%2C+and+Max+Welling.+Markov+chain+monte+carlo+and+variational+inference%3A+Bridging+the+gap.+In","search")</f>
        <v/>
      </c>
      <c r="G65" s="3" t="n"/>
      <c r="H65" s="3" t="n"/>
      <c r="I65" s="3" t="n"/>
      <c r="J65" s="3" t="n"/>
      <c r="K65" t="inlineStr">
        <is>
          <t>Bayesian probabilistic matrix factorization using Markov chain Monte Carlo</t>
        </is>
      </c>
      <c r="L65" t="inlineStr">
        <is>
          <t>Proceedings of the 25th international conference on Machine learning - ICML '08</t>
        </is>
      </c>
      <c r="M65" t="n">
        <v>2008</v>
      </c>
      <c r="N65" t="inlineStr">
        <is>
          <t>10.1145/1390156.1390267</t>
        </is>
      </c>
      <c r="O65" t="inlineStr">
        <is>
          <t>NO</t>
        </is>
      </c>
      <c r="P65" s="3" t="n"/>
    </row>
    <row r="66" ht="42" customHeight="1">
      <c r="A66" t="inlineStr">
        <is>
          <t>V065</t>
        </is>
      </c>
      <c r="B66" t="inlineStr">
        <is>
          <t>2016</t>
        </is>
      </c>
      <c r="C66" t="inlineStr">
        <is>
          <t>Arxiv_Bio_2016</t>
        </is>
      </c>
      <c r="D66" t="inlineStr">
        <is>
          <t>1606.04354v3.pdf</t>
        </is>
      </c>
      <c r="E66" s="2" t="inlineStr">
        <is>
          <t>H. C. Berg. E. coli in Motion, Springer (2008)</t>
        </is>
      </c>
      <c r="F66">
        <f>HYPERLINK("https://scholar.google.com/scholar?q=H.+C.+Berg.+E.+coli+in+Motion%2C+Springer+%282008%29","search")</f>
        <v/>
      </c>
      <c r="G66" s="3" t="n"/>
      <c r="H66" s="3" t="n"/>
      <c r="I66" s="3" t="n"/>
      <c r="J66" s="3" t="n"/>
      <c r="K66" t="inlineStr">
        <is>
          <t>E. coli in Motion</t>
        </is>
      </c>
      <c r="L66" t="inlineStr">
        <is>
          <t>Biological and Medical Physics, Biomedical Engineering</t>
        </is>
      </c>
      <c r="M66" t="n">
        <v>2004</v>
      </c>
      <c r="N66" t="inlineStr">
        <is>
          <t>10.1007/b97370</t>
        </is>
      </c>
      <c r="O66" t="inlineStr">
        <is>
          <t>NO</t>
        </is>
      </c>
      <c r="P66" s="3" t="n"/>
    </row>
    <row r="67" ht="42" customHeight="1">
      <c r="A67" t="inlineStr">
        <is>
          <t>V066</t>
        </is>
      </c>
      <c r="B67" t="inlineStr">
        <is>
          <t>2016</t>
        </is>
      </c>
      <c r="C67" t="inlineStr">
        <is>
          <t>Arxiv_Bio_2016</t>
        </is>
      </c>
      <c r="D67" t="inlineStr">
        <is>
          <t>1603.03828v1.pdf</t>
        </is>
      </c>
      <c r="E67" s="2" t="inlineStr">
        <is>
          <t>A. M. Treisman, Gelade, G., "A feature-integration theory of attention,"  Cognit. Psychol., vol. 12, pp. 97-136, 1980.</t>
        </is>
      </c>
      <c r="F67">
        <f>HYPERLINK("https://scholar.google.com/scholar?q=A.+M.+Treisman%2C+Gelade%2C+G.%2C+%22A+feature-integration+theory+of+attention%2C%22++Cognit.+Psychol.%2C+vol.+12%2C+pp.+97-136%2C+1980.","search")</f>
        <v/>
      </c>
      <c r="G67" s="3" t="n"/>
      <c r="H67" s="3" t="n"/>
      <c r="I67" s="3" t="n"/>
      <c r="J67" s="3" t="n"/>
      <c r="K67" t="inlineStr">
        <is>
          <t>A feature-integration theory of attention</t>
        </is>
      </c>
      <c r="L67" t="inlineStr">
        <is>
          <t>Cognitive Psychology</t>
        </is>
      </c>
      <c r="M67" t="n">
        <v>1980</v>
      </c>
      <c r="N67" t="inlineStr">
        <is>
          <t>10.1016/0010-0285(80)90005-5</t>
        </is>
      </c>
      <c r="O67" t="inlineStr">
        <is>
          <t>NO</t>
        </is>
      </c>
      <c r="P67" s="3" t="n"/>
    </row>
    <row r="68" ht="42" customHeight="1">
      <c r="A68" t="inlineStr">
        <is>
          <t>V067</t>
        </is>
      </c>
      <c r="B68" t="inlineStr">
        <is>
          <t>2023</t>
        </is>
      </c>
      <c r="C68" t="inlineStr">
        <is>
          <t>Arxiv_Bio_2023</t>
        </is>
      </c>
      <c r="D68" t="inlineStr">
        <is>
          <t>2302.00767v2.pdf</t>
        </is>
      </c>
      <c r="E68" s="2" t="inlineStr">
        <is>
          <t>Gorgolewski, K. J., Esteban, O., Burns, C., Ziegler, E., Pinsard, B., Madison, C., Waskom, M., Ellis, D. G., Clark, D., Dayan, M., Manh˜aes-Savio, A., Notter, M. P., Johnson, H., Dewey, B. E., Halchenko, Y. O., Hamalainen, C., Keshavan, A., Clark, D., Huntenburg, J. M., Hanke, M., Nichols, B. N., Wassermann, D., 16  Eshaghi, A., Markiewicz, C., Varoquaux, G., Acland, B., Forbes, J., Rokem, A., Kong, X.-Z., Gramfort, A., Kleesiek, J., Schaefer, A., Sikka, S., Perez-Guevara, M. F., Glatard, T., Iq</t>
        </is>
      </c>
      <c r="F68">
        <f>HYPERLINK("https://scholar.google.com/scholar?q=Gorgolewski%2C+K.+J.%2C+Esteban%2C+O.%2C+Burns%2C+C.%2C+Ziegler%2C+E.%2C+Pinsard%2C+B.%2C+Madison%2C+C.%2C+Waskom%2C+M.%2C+Ellis%2C+D.+G.%2C+Clark%2C+D.%2C+","search")</f>
        <v/>
      </c>
      <c r="G68" s="3" t="n"/>
      <c r="H68" s="3" t="n"/>
      <c r="I68" s="3" t="n"/>
      <c r="J68" s="3" t="n"/>
      <c r="K68" t="inlineStr">
        <is>
          <t>Nipype: A Flexible, Lightweight and Extensible Neuroimaging Data Processing Framework in Python</t>
        </is>
      </c>
      <c r="L68" t="inlineStr">
        <is>
          <t>Frontiers in Neuroinformatics</t>
        </is>
      </c>
      <c r="M68" t="n">
        <v>2011</v>
      </c>
      <c r="N68" t="inlineStr">
        <is>
          <t>10.3389/fninf.2011.00013</t>
        </is>
      </c>
      <c r="O68" t="inlineStr">
        <is>
          <t>NO</t>
        </is>
      </c>
      <c r="P68" s="3" t="n"/>
    </row>
    <row r="69" ht="42" customHeight="1">
      <c r="A69" t="inlineStr">
        <is>
          <t>V068</t>
        </is>
      </c>
      <c r="B69" t="inlineStr">
        <is>
          <t>2023</t>
        </is>
      </c>
      <c r="C69" t="inlineStr">
        <is>
          <t>Arxiv_CS_2023</t>
        </is>
      </c>
      <c r="D69" t="inlineStr">
        <is>
          <t>2312.03395v1.pdf</t>
        </is>
      </c>
      <c r="E69" s="2" t="inlineStr">
        <is>
          <t>Erick Rosete-Beas, Oier Mees, Gabriel Kalweit, Joschka Boedecker, and Wolfram Burgard. Latent plans for task agnostic offline reinforcement learning. In Proceedings of the Conference on Robot Learning, Auckland, NZ, Dec 2022.</t>
        </is>
      </c>
      <c r="F69">
        <f>HYPERLINK("https://scholar.google.com/scholar?q=Erick+Rosete-Beas%2C+Oier+Mees%2C+Gabriel+Kalweit%2C+Joschka+Boedecker%2C+and+Wolfram+Burgard.+Latent+plans+for+task+agnostic+of","search")</f>
        <v/>
      </c>
      <c r="G69" s="3" t="n"/>
      <c r="H69" s="3" t="n"/>
      <c r="I69" s="3" t="n"/>
      <c r="J69" s="3" t="n"/>
      <c r="K69" t="inlineStr">
        <is>
          <t>Affordance Learning from Play for Sample-Efficient Policy Learning</t>
        </is>
      </c>
      <c r="L69" t="inlineStr">
        <is>
          <t>2022 International Conference on Robotics and Automation (ICRA)</t>
        </is>
      </c>
      <c r="M69" t="n">
        <v>2022</v>
      </c>
      <c r="N69" t="inlineStr">
        <is>
          <t>10.1109/icra46639.2022.9811889</t>
        </is>
      </c>
      <c r="O69" t="inlineStr">
        <is>
          <t>YES</t>
        </is>
      </c>
      <c r="P69" s="3" t="n"/>
    </row>
    <row r="70" ht="42" customHeight="1">
      <c r="A70" t="inlineStr">
        <is>
          <t>V069</t>
        </is>
      </c>
      <c r="B70" t="inlineStr">
        <is>
          <t>2016</t>
        </is>
      </c>
      <c r="C70" t="inlineStr">
        <is>
          <t>Arxiv_Bio_2016</t>
        </is>
      </c>
      <c r="D70" t="inlineStr">
        <is>
          <t>1606.00965v1.pdf</t>
        </is>
      </c>
      <c r="E70" s="2" t="inlineStr">
        <is>
          <t>W. Herzog, T.R. Leonard, Response to the (Morgan and Proske) Letter to the Editor by Walter Herzog and Tim Leonard (on behalf of the authors). J. Physiol 578(2), 617-620, (2006)</t>
        </is>
      </c>
      <c r="F70">
        <f>HYPERLINK("https://scholar.google.com/scholar?q=W.+Herzog%2C+T.R.+Leonard%2C+Response+to+the+%28Morgan+and+Proske%29+Letter+to+the+Editor+by+Walter+Herzog+and+Tim+Leonard+%28on+b","search")</f>
        <v/>
      </c>
      <c r="G70" s="3" t="n"/>
      <c r="H70" s="3" t="n"/>
      <c r="I70" s="3" t="n"/>
      <c r="J70" s="3" t="n"/>
      <c r="K70" t="inlineStr">
        <is>
          <t>Reply from Walter Herzog (on behalf of the authors) and Tim Leonard</t>
        </is>
      </c>
      <c r="L70" t="inlineStr">
        <is>
          <t>The Journal of Physiology</t>
        </is>
      </c>
      <c r="M70" t="n">
        <v>2007</v>
      </c>
      <c r="N70" t="inlineStr">
        <is>
          <t>10.1113/jphysiol.2006.125443</t>
        </is>
      </c>
      <c r="O70" t="inlineStr">
        <is>
          <t>NO</t>
        </is>
      </c>
      <c r="P70" s="3" t="n"/>
    </row>
    <row r="71" ht="42" customHeight="1">
      <c r="A71" t="inlineStr">
        <is>
          <t>V070</t>
        </is>
      </c>
      <c r="B71" t="inlineStr">
        <is>
          <t>2016</t>
        </is>
      </c>
      <c r="C71" t="inlineStr">
        <is>
          <t>Arxiv_CS_2016</t>
        </is>
      </c>
      <c r="D71" t="inlineStr">
        <is>
          <t>1612.05533v3.pdf</t>
        </is>
      </c>
      <c r="E71" s="2" t="inlineStr">
        <is>
          <t>V. Mnih, K. Kavukcuoglu, D. Silver, A. A. Rusu, J. Veness, M. G. Bellemare, A. Graves, M. Riedmiller, A. K. Fidjeland, G. Ostrovski, et al., “Human-level control through deep reinforcement learning,” Nature, vol. 518, no. 7540, 2015.</t>
        </is>
      </c>
      <c r="F71">
        <f>HYPERLINK("https://scholar.google.com/scholar?q=V.+Mnih%2C+K.+Kavukcuoglu%2C+D.+Silver%2C+A.+A.+Rusu%2C+J.+Veness%2C+M.+G.+Bellemare%2C+A.+Graves%2C+M.+Riedmiller%2C+A.+K.+Fidjeland%2C+G","search")</f>
        <v/>
      </c>
      <c r="G71" s="3" t="n"/>
      <c r="H71" s="3" t="n"/>
      <c r="I71" s="3" t="n"/>
      <c r="J71" s="3" t="n"/>
      <c r="K71" t="inlineStr">
        <is>
          <t>Human-level control through deep reinforcement learning</t>
        </is>
      </c>
      <c r="L71" t="inlineStr">
        <is>
          <t>Nature</t>
        </is>
      </c>
      <c r="M71" t="n">
        <v>2015</v>
      </c>
      <c r="N71" t="inlineStr">
        <is>
          <t>10.1038/nature14236</t>
        </is>
      </c>
      <c r="O71" t="inlineStr">
        <is>
          <t>NO</t>
        </is>
      </c>
      <c r="P71" s="3" t="n"/>
    </row>
    <row r="72" ht="42" customHeight="1">
      <c r="A72" t="inlineStr">
        <is>
          <t>V071</t>
        </is>
      </c>
      <c r="B72" t="inlineStr">
        <is>
          <t>2023</t>
        </is>
      </c>
      <c r="C72" t="inlineStr">
        <is>
          <t>Arxiv_CS_2023</t>
        </is>
      </c>
      <c r="D72" t="inlineStr">
        <is>
          <t>2312.03395v1.pdf</t>
        </is>
      </c>
      <c r="E72" s="2" t="inlineStr">
        <is>
          <t>Aditya Ramesh, Prafulla Dhariwal, Alex Nichol, Casey Chu, and Mark Chen. Hierarchical text-conditional image generation with CLIP latents. arXiv preprint arXiv:2204.06125, Apr</t>
        </is>
      </c>
      <c r="F72">
        <f>HYPERLINK("https://scholar.google.com/scholar?q=Aditya+Ramesh%2C+Prafulla+Dhariwal%2C+Alex+Nichol%2C+Casey+Chu%2C+and+Mark+Chen.+Hierarchical+text-conditional+image+generation+","search")</f>
        <v/>
      </c>
      <c r="G72" s="3" t="n"/>
      <c r="H72" s="3" t="n"/>
      <c r="I72" s="3" t="n"/>
      <c r="J72" s="3" t="n"/>
      <c r="K72" t="inlineStr">
        <is>
          <t>A.M.Aminee, J.Taylor. Generative AI Results and Reality</t>
        </is>
      </c>
      <c r="L72" t="inlineStr">
        <is>
          <t>AI-EDU Arxiv</t>
        </is>
      </c>
      <c r="M72" t="n">
        <v>2024</v>
      </c>
      <c r="N72" t="inlineStr">
        <is>
          <t>10.36851/ai-edu.vi0.4226</t>
        </is>
      </c>
      <c r="O72" t="inlineStr">
        <is>
          <t>NO</t>
        </is>
      </c>
      <c r="P72" s="3" t="n"/>
    </row>
    <row r="73" ht="42" customHeight="1">
      <c r="A73" t="inlineStr">
        <is>
          <t>V072</t>
        </is>
      </c>
      <c r="B73" t="inlineStr">
        <is>
          <t>2023</t>
        </is>
      </c>
      <c r="C73" t="inlineStr">
        <is>
          <t>NeurIPS_2023</t>
        </is>
      </c>
      <c r="D73" t="inlineStr">
        <is>
          <t>02687e7b22abc64e651be8da74ec610e-Paper-Conference.pdf</t>
        </is>
      </c>
      <c r="E73" s="2" t="inlineStr">
        <is>
          <t>Yuan, H., Wang, M., Ni, D., Xu, L.: Detecting human-object interactions with object-guided cross-modal calibrated semantics. arXiv preprint arXiv:2202.00259 (2022) 3, 8</t>
        </is>
      </c>
      <c r="F73">
        <f>HYPERLINK("https://scholar.google.com/scholar?q=Yuan%2C+H.%2C+Wang%2C+M.%2C+Ni%2C+D.%2C+Xu%2C+L.%3A+Detecting+human-object+interactions+with+object-guided+cross-modal+calibrated+semant","search")</f>
        <v/>
      </c>
      <c r="G73" s="3" t="n"/>
      <c r="H73" s="3" t="n"/>
      <c r="I73" s="3" t="n"/>
      <c r="J73" s="3" t="n"/>
      <c r="K73" t="inlineStr">
        <is>
          <t>Detecting Human-Object Interactions with Object-Guided Cross-Modal Calibrated Semantics</t>
        </is>
      </c>
      <c r="L73" t="inlineStr">
        <is>
          <t>Proceedings of the AAAI Conference on Artificial Intelligence</t>
        </is>
      </c>
      <c r="M73" t="n">
        <v>2022</v>
      </c>
      <c r="N73" t="inlineStr">
        <is>
          <t>10.1609/aaai.v36i3.20229</t>
        </is>
      </c>
      <c r="O73" t="inlineStr">
        <is>
          <t>YES</t>
        </is>
      </c>
      <c r="P73" s="3" t="n"/>
    </row>
    <row r="74" ht="42" customHeight="1">
      <c r="A74" t="inlineStr">
        <is>
          <t>V073</t>
        </is>
      </c>
      <c r="B74" t="inlineStr">
        <is>
          <t>2025</t>
        </is>
      </c>
      <c r="C74" t="inlineStr">
        <is>
          <t>NeurIPS_2025</t>
        </is>
      </c>
      <c r="D74" t="inlineStr">
        <is>
          <t>04b7e69b74d8637d554849a9c313a0f7-Paper-Conference.pdf</t>
        </is>
      </c>
      <c r="E74" s="2" t="inlineStr">
        <is>
          <t>Y. Peng, Y. Cui, H. Tang, Z. Qi, R. Dong, J. Bai, C. Han, Z. Ge, X. Zhang, and S.-T. Xia. Dreambench++: A human-aligned benchmark for personalized image generation. In The Thirteenth International Conference on Learning Representations, 2025.</t>
        </is>
      </c>
      <c r="F74">
        <f>HYPERLINK("https://scholar.google.com/scholar?q=Y.+Peng%2C+Y.+Cui%2C+H.+Tang%2C+Z.+Qi%2C+R.+Dong%2C+J.+Bai%2C+C.+Han%2C+Z.+Ge%2C+X.+Zhang%2C+and+S.-T.+Xia.+Dreambench%2B%2B%3A+A+human-aligned+","search")</f>
        <v/>
      </c>
      <c r="G74" s="3" t="n"/>
      <c r="H74" s="3" t="n"/>
      <c r="I74" s="3" t="n"/>
      <c r="J74" s="3" t="n"/>
      <c r="K74" t="inlineStr">
        <is>
          <t>A Pyramid GAN for Nighttime Visible Image Retrieval from Geostationary Satellite Observations</t>
        </is>
      </c>
      <c r="L74" t="inlineStr">
        <is>
          <t>2025 4th International Conference on Image Processing, Computer Vision and Machine Learning (ICICML)</t>
        </is>
      </c>
      <c r="M74" t="n">
        <v>2025</v>
      </c>
      <c r="N74" t="inlineStr">
        <is>
          <t>10.1109/icicml67980.2025.11333784</t>
        </is>
      </c>
      <c r="O74" t="inlineStr">
        <is>
          <t>NO</t>
        </is>
      </c>
      <c r="P74" s="3" t="n"/>
    </row>
    <row r="75" ht="42" customHeight="1">
      <c r="A75" t="inlineStr">
        <is>
          <t>V074</t>
        </is>
      </c>
      <c r="B75" t="inlineStr">
        <is>
          <t>2023</t>
        </is>
      </c>
      <c r="C75" t="inlineStr">
        <is>
          <t>Arxiv_Bio_2023</t>
        </is>
      </c>
      <c r="D75" t="inlineStr">
        <is>
          <t>2307.03415v1.pdf</t>
        </is>
      </c>
      <c r="E75" s="2" t="inlineStr">
        <is>
          <t>Bi Q, Wu Y, Mei S, Ye C, Zou X, Zhang Z, et al. Epidemiology and transmission of COVID-19 in 391 cases and 1286 of their close contacts in Shenzhen, China: a retrospective cohort study. Lancet Infect Dis. 2020 Aug;20(8):911–919.</t>
        </is>
      </c>
      <c r="F75">
        <f>HYPERLINK("https://scholar.google.com/scholar?q=Bi+Q%2C+Wu+Y%2C+Mei+S%2C+Ye+C%2C+Zou+X%2C+Zhang+Z%2C+et+al.+Epidemiology+and+transmission+of+COVID-19+in+391+cases+and+1286+of+their","search")</f>
        <v/>
      </c>
      <c r="G75" s="3" t="n"/>
      <c r="H75" s="3" t="n"/>
      <c r="I75" s="3" t="n"/>
      <c r="J75" s="3" t="n"/>
      <c r="K75" t="inlineStr">
        <is>
          <t>Epidemiology and transmission of COVID-19 in 391 cases and 1286 of their close contacts in Shenzhen, China: a retrospective cohort study</t>
        </is>
      </c>
      <c r="L75" t="inlineStr">
        <is>
          <t>The Lancet Infectious Diseases</t>
        </is>
      </c>
      <c r="M75" t="n">
        <v>2020</v>
      </c>
      <c r="N75" t="inlineStr">
        <is>
          <t>10.1016/s1473-3099(20)30287-5</t>
        </is>
      </c>
      <c r="O75" t="inlineStr">
        <is>
          <t>NO</t>
        </is>
      </c>
      <c r="P75" s="3" t="n"/>
    </row>
    <row r="76" ht="42" customHeight="1">
      <c r="A76" t="inlineStr">
        <is>
          <t>V075</t>
        </is>
      </c>
      <c r="B76" t="inlineStr">
        <is>
          <t>2016</t>
        </is>
      </c>
      <c r="C76" t="inlineStr">
        <is>
          <t>NeurIPS_2016</t>
        </is>
      </c>
      <c r="D76" t="inlineStr">
        <is>
          <t>0966289037ad9846c5e994be2a91bafa-Paper.pdf</t>
        </is>
      </c>
      <c r="E76" s="2" t="inlineStr">
        <is>
          <t>N. Buchbinder, Kamal Jain, and J. Naor. Online primal-dual algorithms for maximizing ad-auctions revenue. In ESA, pages 253–264. Springer, 2007.</t>
        </is>
      </c>
      <c r="F76">
        <f>HYPERLINK("https://scholar.google.com/scholar?q=N.+Buchbinder%2C+Kamal+Jain%2C+and+J.+Naor.+Online+primal-dual+algorithms+for+maximizing+ad-auctions+revenue.+In+ESA%2C+pages+","search")</f>
        <v/>
      </c>
      <c r="G76" s="3" t="n"/>
      <c r="H76" s="3" t="n"/>
      <c r="I76" s="3" t="n"/>
      <c r="J76" s="3" t="n"/>
      <c r="K76" t="inlineStr">
        <is>
          <t>Online Primal-Dual Algorithms for Maximizing Ad-Auctions Revenue</t>
        </is>
      </c>
      <c r="L76" t="inlineStr">
        <is>
          <t>Lecture Notes in Computer Science</t>
        </is>
      </c>
      <c r="M76" t="n">
        <v/>
      </c>
      <c r="N76" t="inlineStr">
        <is>
          <t>10.1007/978-3-540-75520-3_24</t>
        </is>
      </c>
      <c r="O76" t="inlineStr">
        <is>
          <t>NO</t>
        </is>
      </c>
      <c r="P76" s="3" t="n"/>
    </row>
    <row r="77" ht="42" customHeight="1">
      <c r="A77" t="inlineStr">
        <is>
          <t>V076</t>
        </is>
      </c>
      <c r="B77" t="inlineStr">
        <is>
          <t>2023</t>
        </is>
      </c>
      <c r="C77" t="inlineStr">
        <is>
          <t>Arxiv_Bio_2023</t>
        </is>
      </c>
      <c r="D77" t="inlineStr">
        <is>
          <t>2305.11194v1.pdf</t>
        </is>
      </c>
      <c r="E77" s="2" t="inlineStr">
        <is>
          <t>Alexandra Flemming. Omicron, the great escape artist. 22(2):75–75, 2022. Number: 2 Publisher: Nature Publishing Group.</t>
        </is>
      </c>
      <c r="F77">
        <f>HYPERLINK("https://scholar.google.com/scholar?q=Alexandra+Flemming.+Omicron%2C+the+great+escape+artist.+22%282%29%3A75%E2%80%9375%2C+2022.+Number%3A+2+Publisher%3A+Nature+Publishing+Group.","search")</f>
        <v/>
      </c>
      <c r="G77" s="3" t="n"/>
      <c r="H77" s="3" t="n"/>
      <c r="I77" s="3" t="n"/>
      <c r="J77" s="3" t="n"/>
      <c r="K77" t="inlineStr">
        <is>
          <t>Omicron, the great escape artist</t>
        </is>
      </c>
      <c r="L77" t="inlineStr">
        <is>
          <t>Nature Reviews Immunology</t>
        </is>
      </c>
      <c r="M77" t="n">
        <v>2022</v>
      </c>
      <c r="N77" t="inlineStr">
        <is>
          <t>10.1038/s41577-022-00676-6</t>
        </is>
      </c>
      <c r="O77" t="inlineStr">
        <is>
          <t>NO</t>
        </is>
      </c>
      <c r="P77" s="3" t="n"/>
    </row>
    <row r="78" ht="42" customHeight="1">
      <c r="A78" t="inlineStr">
        <is>
          <t>V077</t>
        </is>
      </c>
      <c r="B78" t="inlineStr">
        <is>
          <t>2025</t>
        </is>
      </c>
      <c r="C78" t="inlineStr">
        <is>
          <t>Arxiv_CS_2025</t>
        </is>
      </c>
      <c r="D78" t="inlineStr">
        <is>
          <t>2502.01785v1.pdf</t>
        </is>
      </c>
      <c r="E78" s="2" t="inlineStr">
        <is>
          <t>“Ozfish dataset - machine learning dataset for baited remote underwater video stations,” 2020.</t>
        </is>
      </c>
      <c r="F78">
        <f>HYPERLINK("https://scholar.google.com/scholar?q=%E2%80%9COzfish+dataset+-+machine+learning+dataset+for+baited+remote+underwater+video+stations%2C%E2%80%9D+2020.","search")</f>
        <v/>
      </c>
      <c r="G78" s="3" t="n"/>
      <c r="H78" s="3" t="n"/>
      <c r="I78" s="3" t="n"/>
      <c r="J78" s="3" t="n"/>
      <c r="K78" t="inlineStr">
        <is>
          <t>Review for "A field and video‐annotation guide for baited remote underwater stereo‐video surveys of demersal fish assemblages"</t>
        </is>
      </c>
      <c r="L78" t="n">
        <v/>
      </c>
      <c r="M78" t="n">
        <v>2020</v>
      </c>
      <c r="N78" t="inlineStr">
        <is>
          <t>10.1111/2041-210x.13470/v1/review2</t>
        </is>
      </c>
      <c r="O78" t="inlineStr">
        <is>
          <t>NO</t>
        </is>
      </c>
      <c r="P78" s="3" t="n"/>
    </row>
    <row r="79" ht="42" customHeight="1">
      <c r="A79" t="inlineStr">
        <is>
          <t>V078</t>
        </is>
      </c>
      <c r="B79" t="inlineStr">
        <is>
          <t>2016</t>
        </is>
      </c>
      <c r="C79" t="inlineStr">
        <is>
          <t>Arxiv_CS_2016</t>
        </is>
      </c>
      <c r="D79" t="inlineStr">
        <is>
          <t>1608.08072v1.pdf</t>
        </is>
      </c>
      <c r="E79" s="2" t="inlineStr">
        <is>
          <t>Dasiopoulou, S., Heinecke, J., Saathoff, C., Strintzis, M. G.: Multimedia  Reasoning with Natural Language Support. IEEE Sixth International Conference  on Semantic Computing, pp. 413–420, IEEE (2007), DOI:  10.1109/ICSC.2007.28</t>
        </is>
      </c>
      <c r="F79">
        <f>HYPERLINK("https://scholar.google.com/scholar?q=Dasiopoulou%2C+S.%2C+Heinecke%2C+J.%2C+Saathoff%2C+C.%2C+Strintzis%2C+M.+G.%3A+Multimedia++Reasoning+with+Natural+Language+Support.+IEEE","search")</f>
        <v/>
      </c>
      <c r="G79" s="3" t="n"/>
      <c r="H79" s="3" t="n"/>
      <c r="I79" s="3" t="n"/>
      <c r="J79" s="3" t="n"/>
      <c r="K79" t="inlineStr">
        <is>
          <t>Multimedia Reasoning with Natural Language Support</t>
        </is>
      </c>
      <c r="L79" t="inlineStr">
        <is>
          <t>International Conference on Semantic Computing (ICSC 2007)</t>
        </is>
      </c>
      <c r="M79" t="n">
        <v>2007</v>
      </c>
      <c r="N79" t="inlineStr">
        <is>
          <t>10.1109/icsc.2007.28</t>
        </is>
      </c>
      <c r="O79" t="inlineStr">
        <is>
          <t>NO</t>
        </is>
      </c>
      <c r="P79" s="3" t="n"/>
    </row>
    <row r="80" ht="42" customHeight="1">
      <c r="A80" t="inlineStr">
        <is>
          <t>V079</t>
        </is>
      </c>
      <c r="B80" t="inlineStr">
        <is>
          <t>2016</t>
        </is>
      </c>
      <c r="C80" t="inlineStr">
        <is>
          <t>NeurIPS_2016</t>
        </is>
      </c>
      <c r="D80" t="inlineStr">
        <is>
          <t>018b59ce1fd616d874afad0f44ba338d-Paper.pdf</t>
        </is>
      </c>
      <c r="E80" s="2" t="inlineStr">
        <is>
          <t>J. Witkowski and D. Parkes. A robust bayesian truth serum for small populations. In Proceedings of the 26th AAAI Conference on Artiﬁcial Intelligence, AAAI ’12, 2012.</t>
        </is>
      </c>
      <c r="F80">
        <f>HYPERLINK("https://scholar.google.com/scholar?q=J.+Witkowski+and+D.+Parkes.+A+robust+bayesian+truth+serum+for+small+populations.+In+Proceedings+of+the+26th+AAAI+Confere","search")</f>
        <v/>
      </c>
      <c r="G80" s="3" t="n"/>
      <c r="H80" s="3" t="n"/>
      <c r="I80" s="3" t="n"/>
      <c r="J80" s="3" t="n"/>
      <c r="K80" t="inlineStr">
        <is>
          <t>A Robust Bayesian Truth Serum for Small Populations</t>
        </is>
      </c>
      <c r="L80" t="inlineStr">
        <is>
          <t>Proceedings of the AAAI Conference on Artificial Intelligence</t>
        </is>
      </c>
      <c r="M80" t="n">
        <v>2021</v>
      </c>
      <c r="N80" t="inlineStr">
        <is>
          <t>10.1609/aaai.v26i1.8261</t>
        </is>
      </c>
      <c r="O80" t="inlineStr">
        <is>
          <t>NO</t>
        </is>
      </c>
      <c r="P80" s="3" t="n"/>
    </row>
    <row r="81" ht="42" customHeight="1">
      <c r="A81" t="inlineStr">
        <is>
          <t>V080</t>
        </is>
      </c>
      <c r="B81" t="inlineStr">
        <is>
          <t>2023</t>
        </is>
      </c>
      <c r="C81" t="inlineStr">
        <is>
          <t>Arxiv_Bio_2023</t>
        </is>
      </c>
      <c r="D81" t="inlineStr">
        <is>
          <t>2301.02661v1.pdf</t>
        </is>
      </c>
      <c r="E81" s="2" t="inlineStr">
        <is>
          <t>Eva Kanso and Jerrold E Marsden. Optimal motion of an articulated body in a perfect ﬂuid. In Proceedings of the 44th IEEE Conference on Decision and Control, pages 2511–2516. IEEE, 2005.</t>
        </is>
      </c>
      <c r="F81">
        <f>HYPERLINK("https://scholar.google.com/scholar?q=Eva+Kanso+and+Jerrold+E+Marsden.+Optimal+motion+of+an+articulated+body+in+a+perfect+%EF%AC%82uid.+In+Proceedings+of+the+44th+IEE","search")</f>
        <v/>
      </c>
      <c r="G81" s="3" t="n"/>
      <c r="H81" s="3" t="n"/>
      <c r="I81" s="3" t="n"/>
      <c r="J81" s="3" t="n"/>
      <c r="K81" t="inlineStr">
        <is>
          <t>Optimal Motion of an Articulated Body in a Perfect Fluid</t>
        </is>
      </c>
      <c r="L81" t="inlineStr">
        <is>
          <t>Proceedings of the 44th IEEE Conference on Decision and Control</t>
        </is>
      </c>
      <c r="M81" t="n">
        <v/>
      </c>
      <c r="N81" t="inlineStr">
        <is>
          <t>10.1109/cdc.2005.1582540</t>
        </is>
      </c>
      <c r="O81" t="inlineStr">
        <is>
          <t>YES</t>
        </is>
      </c>
      <c r="P81" s="3" t="n"/>
    </row>
    <row r="82" ht="42" customHeight="1">
      <c r="A82" t="inlineStr">
        <is>
          <t>V081</t>
        </is>
      </c>
      <c r="B82" t="inlineStr">
        <is>
          <t>2016</t>
        </is>
      </c>
      <c r="C82" t="inlineStr">
        <is>
          <t>NeurIPS_2016</t>
        </is>
      </c>
      <c r="D82" t="inlineStr">
        <is>
          <t>1a0a283bfe7c549dee6c638a05200e32-Paper.pdf</t>
        </is>
      </c>
      <c r="E82" s="2" t="inlineStr">
        <is>
          <t>C. Borgs, J. T. Chayes, H. Cohn, and N. Holden. Sparse exchangeable graphs and their limits via graphon processes. arXiv e-print 1601.07134, 2016.</t>
        </is>
      </c>
      <c r="F82">
        <f>HYPERLINK("https://scholar.google.com/scholar?q=C.+Borgs%2C+J.+T.+Chayes%2C+H.+Cohn%2C+and+N.+Holden.+Sparse+exchangeable+graphs+and+their+limits+via+graphon+processes.+arXiv","search")</f>
        <v/>
      </c>
      <c r="G82" s="3" t="n"/>
      <c r="H82" s="3" t="n"/>
      <c r="I82" s="3" t="n"/>
      <c r="J82" s="3" t="n"/>
      <c r="K82" t="inlineStr">
        <is>
          <t>Sampling perspectives on sparse exchangeable graphs</t>
        </is>
      </c>
      <c r="L82" t="inlineStr">
        <is>
          <t>The Annals of Probability</t>
        </is>
      </c>
      <c r="M82" t="n">
        <v>2019</v>
      </c>
      <c r="N82" t="inlineStr">
        <is>
          <t>10.1214/18-aop1320</t>
        </is>
      </c>
      <c r="O82" t="inlineStr">
        <is>
          <t>NO</t>
        </is>
      </c>
      <c r="P82" s="3" t="n"/>
    </row>
    <row r="83" ht="42" customHeight="1">
      <c r="A83" t="inlineStr">
        <is>
          <t>V082</t>
        </is>
      </c>
      <c r="B83" t="inlineStr">
        <is>
          <t>2023</t>
        </is>
      </c>
      <c r="C83" t="inlineStr">
        <is>
          <t>NeurIPS_2023</t>
        </is>
      </c>
      <c r="D83" t="inlineStr">
        <is>
          <t>0207c9ea9faf66c6e892c3fa3c167b75-Paper-Conference.pdf</t>
        </is>
      </c>
      <c r="E83" s="2" t="inlineStr">
        <is>
          <t>Nicolas Papernot, Patrick McDaniel, Ian Goodfellow, Somesh Jha, Z. Berkay Celik, and Ananthram Swami. Practical black-box attacks against machine learning. In ACM Asia Conference on Computer and Communications Security, 2016.</t>
        </is>
      </c>
      <c r="F83">
        <f>HYPERLINK("https://scholar.google.com/scholar?q=Nicolas+Papernot%2C+Patrick+McDaniel%2C+Ian+Goodfellow%2C+Somesh+Jha%2C+Z.+Berkay+Celik%2C+and+Ananthram+Swami.+Practical+black-bo","search")</f>
        <v/>
      </c>
      <c r="G83" s="3" t="n"/>
      <c r="H83" s="3" t="n"/>
      <c r="I83" s="3" t="n"/>
      <c r="J83" s="3" t="n"/>
      <c r="K83" t="inlineStr">
        <is>
          <t>Practical Black-Box Attacks against Machine Learning</t>
        </is>
      </c>
      <c r="L83" t="inlineStr">
        <is>
          <t>Proceedings of the 2017 ACM on Asia Conference on Computer and Communications Security</t>
        </is>
      </c>
      <c r="M83" t="n">
        <v>2017</v>
      </c>
      <c r="N83" t="inlineStr">
        <is>
          <t>10.1145/3052973.3053009</t>
        </is>
      </c>
      <c r="O83" t="inlineStr">
        <is>
          <t>YES</t>
        </is>
      </c>
      <c r="P83" s="3" t="n"/>
    </row>
    <row r="84" ht="42" customHeight="1">
      <c r="A84" t="inlineStr">
        <is>
          <t>V083</t>
        </is>
      </c>
      <c r="B84" t="inlineStr">
        <is>
          <t>2016</t>
        </is>
      </c>
      <c r="C84" t="inlineStr">
        <is>
          <t>Arxiv_Bio_2016</t>
        </is>
      </c>
      <c r="D84" t="inlineStr">
        <is>
          <t>1604.02699v1.pdf</t>
        </is>
      </c>
      <c r="E84" s="2" t="inlineStr">
        <is>
          <t>Arthur Brady and Steven L Salzberg. Phymm and phymmbl: metagenomic phylogenetic classiﬁcation with interpolated markov models. Nature methods, 6:673–676, 2009.</t>
        </is>
      </c>
      <c r="F84">
        <f>HYPERLINK("https://scholar.google.com/scholar?q=Arthur+Brady+and+Steven+L+Salzberg.+Phymm+and+phymmbl%3A+metagenomic+phylogenetic+classi%EF%AC%81cation+with+interpolated+markov+m","search")</f>
        <v/>
      </c>
      <c r="G84" s="3" t="n"/>
      <c r="H84" s="3" t="n"/>
      <c r="I84" s="3" t="n"/>
      <c r="J84" s="3" t="n"/>
      <c r="K84" t="inlineStr">
        <is>
          <t>Phymm and PhymmBL: metagenomic phylogenetic classification with interpolated Markov models</t>
        </is>
      </c>
      <c r="L84" t="inlineStr">
        <is>
          <t>Nature Methods</t>
        </is>
      </c>
      <c r="M84" t="n">
        <v>2009</v>
      </c>
      <c r="N84" t="inlineStr">
        <is>
          <t>10.1038/nmeth.1358</t>
        </is>
      </c>
      <c r="O84" t="inlineStr">
        <is>
          <t>YES</t>
        </is>
      </c>
      <c r="P84" s="3" t="n"/>
    </row>
    <row r="85" ht="42" customHeight="1">
      <c r="A85" t="inlineStr">
        <is>
          <t>V084</t>
        </is>
      </c>
      <c r="B85" t="inlineStr">
        <is>
          <t>2023</t>
        </is>
      </c>
      <c r="C85" t="inlineStr">
        <is>
          <t>Arxiv_Bio_2023</t>
        </is>
      </c>
      <c r="D85" t="inlineStr">
        <is>
          <t>2301.04225v1.pdf</t>
        </is>
      </c>
      <c r="E85" s="2" t="inlineStr">
        <is>
          <t>A. Ishihama, “Prokaryotic genome regulation: a revolutionary paradigm,” Proceedings of the Japan Academy, Series B, vol. 88, no. 9, pp. 485–508, 2012.</t>
        </is>
      </c>
      <c r="F85">
        <f>HYPERLINK("https://scholar.google.com/scholar?q=A.+Ishihama%2C+%E2%80%9CProkaryotic+genome+regulation%3A+a+revolutionary+paradigm%2C%E2%80%9D+Proceedings+of+the+Japan+Academy%2C+Series+B%2C+vol.","search")</f>
        <v/>
      </c>
      <c r="G85" s="3" t="n"/>
      <c r="H85" s="3" t="n"/>
      <c r="I85" s="3" t="n"/>
      <c r="J85" s="3" t="n"/>
      <c r="K85" t="inlineStr">
        <is>
          <t>Prokaryotic genome regulation: A revolutionary paradigm</t>
        </is>
      </c>
      <c r="L85" t="inlineStr">
        <is>
          <t>Proceedings of the Japan Academy, Series B</t>
        </is>
      </c>
      <c r="M85" t="n">
        <v>2012</v>
      </c>
      <c r="N85" t="inlineStr">
        <is>
          <t>10.2183/pjab.88.485</t>
        </is>
      </c>
      <c r="O85" t="inlineStr">
        <is>
          <t>NO</t>
        </is>
      </c>
      <c r="P85" s="3" t="n"/>
    </row>
    <row r="86" ht="42" customHeight="1">
      <c r="A86" t="inlineStr">
        <is>
          <t>V085</t>
        </is>
      </c>
      <c r="B86" t="inlineStr">
        <is>
          <t>2016</t>
        </is>
      </c>
      <c r="C86" t="inlineStr">
        <is>
          <t>Arxiv_Bio_2016</t>
        </is>
      </c>
      <c r="D86" t="inlineStr">
        <is>
          <t>1603.00958v1.pdf</t>
        </is>
      </c>
      <c r="E86" s="2" t="inlineStr">
        <is>
          <t>Askin SP, Schaeffer PM: A universal immuno-PCR platform for comparative and  ultrasensitive quantification of dual affinity-tagged proteins in complex matrices. Analyst  137(22), 5193-5196 (2012).  * Demonstrates the use of an anti-HA antibody to link a protein of interest to Tus for detection by  qIPCR</t>
        </is>
      </c>
      <c r="F86">
        <f>HYPERLINK("https://scholar.google.com/scholar?q=Askin+SP%2C+Schaeffer+PM%3A+A+universal+immuno-PCR+platform+for+comparative+and++ultrasensitive+quantification+of+dual+affin","search")</f>
        <v/>
      </c>
      <c r="G86" s="3" t="n"/>
      <c r="H86" s="3" t="n"/>
      <c r="I86" s="3" t="n"/>
      <c r="J86" s="3" t="n"/>
      <c r="K86" t="inlineStr">
        <is>
          <t>A universal immuno-PCR platform for comparative and ultrasensitive quantification of dual affinity-tagged proteins in complex matrices</t>
        </is>
      </c>
      <c r="L86" t="inlineStr">
        <is>
          <t>The Analyst</t>
        </is>
      </c>
      <c r="M86" t="n">
        <v>2012</v>
      </c>
      <c r="N86" t="inlineStr">
        <is>
          <t>10.1039/c2an35857c</t>
        </is>
      </c>
      <c r="O86" t="inlineStr">
        <is>
          <t>YES</t>
        </is>
      </c>
      <c r="P86" s="3" t="n"/>
    </row>
    <row r="87" ht="42" customHeight="1">
      <c r="A87" t="inlineStr">
        <is>
          <t>V086</t>
        </is>
      </c>
      <c r="B87" t="inlineStr">
        <is>
          <t>2016</t>
        </is>
      </c>
      <c r="C87" t="inlineStr">
        <is>
          <t>Arxiv_Bio_2016</t>
        </is>
      </c>
      <c r="D87" t="inlineStr">
        <is>
          <t>1609.00639v3.pdf</t>
        </is>
      </c>
      <c r="E87" s="2" t="inlineStr">
        <is>
          <t>[45] T A Pologruto, R Yasuda, and K Svoboda. Monitoring neural activity and [Ca2+] with genetically encoded Ca2+ indicators. J Neurosci, 24(43):9572–9579, 2004.</t>
        </is>
      </c>
      <c r="F87">
        <f>HYPERLINK("https://scholar.google.com/scholar?q=%5B45%5D+T+A+Pologruto%2C+R+Yasuda%2C+and+K+Svoboda.+Monitoring+neural+activity+and+%5BCa2%2B%5D+with+genetically+encoded+Ca2%2B+indicat","search")</f>
        <v/>
      </c>
      <c r="G87" s="3" t="n"/>
      <c r="H87" s="3" t="n"/>
      <c r="I87" s="3" t="n"/>
      <c r="J87" s="3" t="n"/>
      <c r="K87" t="inlineStr">
        <is>
          <t>Monitoring Neural Activity and [Ca&lt;sup&gt;2+&lt;/sup&gt;] with Genetically Encoded Ca&lt;sup&gt;2+&lt;/sup&gt;Indicators</t>
        </is>
      </c>
      <c r="L87" t="inlineStr">
        <is>
          <t>The Journal of Neuroscience</t>
        </is>
      </c>
      <c r="M87" t="n">
        <v>2004</v>
      </c>
      <c r="N87" t="inlineStr">
        <is>
          <t>10.1523/jneurosci.2854-04.2004</t>
        </is>
      </c>
      <c r="O87" t="inlineStr">
        <is>
          <t>NO</t>
        </is>
      </c>
      <c r="P87" s="3" t="n"/>
    </row>
    <row r="88" ht="42" customHeight="1">
      <c r="A88" t="inlineStr">
        <is>
          <t>V087</t>
        </is>
      </c>
      <c r="B88" t="inlineStr">
        <is>
          <t>2016</t>
        </is>
      </c>
      <c r="C88" t="inlineStr">
        <is>
          <t>Arxiv_CS_2016</t>
        </is>
      </c>
      <c r="D88" t="inlineStr">
        <is>
          <t>1604.03793v1.pdf</t>
        </is>
      </c>
      <c r="E88" s="2" t="inlineStr">
        <is>
          <t>Balabanov, V., Widl, M., Jiang, J.R.: QBF Resolution Systems and Their Proof Complexities. In: SAT. LNCS, vol. 8561, pp. 154–169. Springer (2014)</t>
        </is>
      </c>
      <c r="F88">
        <f>HYPERLINK("https://scholar.google.com/scholar?q=Balabanov%2C+V.%2C+Widl%2C+M.%2C+Jiang%2C+J.R.%3A+QBF+Resolution+Systems+and+Their+Proof+Complexities.+In%3A+SAT.+LNCS%2C+vol.+8561%2C+pp.","search")</f>
        <v/>
      </c>
      <c r="G88" s="3" t="n"/>
      <c r="H88" s="3" t="n"/>
      <c r="I88" s="3" t="n"/>
      <c r="J88" s="3" t="n"/>
      <c r="K88" t="inlineStr">
        <is>
          <t>QBF Resolution Systems and Their Proof Complexities</t>
        </is>
      </c>
      <c r="L88" t="inlineStr">
        <is>
          <t>Lecture Notes in Computer Science</t>
        </is>
      </c>
      <c r="M88" t="n">
        <v>2014</v>
      </c>
      <c r="N88" t="inlineStr">
        <is>
          <t>10.1007/978-3-319-09284-3_12</t>
        </is>
      </c>
      <c r="O88" t="inlineStr">
        <is>
          <t>NO</t>
        </is>
      </c>
      <c r="P88" s="3" t="n"/>
    </row>
    <row r="89" ht="42" customHeight="1">
      <c r="A89" t="inlineStr">
        <is>
          <t>V088</t>
        </is>
      </c>
      <c r="B89" t="inlineStr">
        <is>
          <t>2025</t>
        </is>
      </c>
      <c r="C89" t="inlineStr">
        <is>
          <t>Arxiv_CS_2025</t>
        </is>
      </c>
      <c r="D89" t="inlineStr">
        <is>
          <t>2501.09858v1.pdf</t>
        </is>
      </c>
      <c r="E89" s="2" t="inlineStr">
        <is>
          <t>Counterfactual state explanations for reinforcement learning agents via generative deep learning. Artificial Intel- ligence, 295: 103455. Ribeiro, M. T.; Singh, S.; and Guestrin, C. 2016. ”Why Should I Trust You?”: Explaining the Predictions of Any  Classifier. In Proceedings of the 22nd ACM SIGKDD In- ternational Conference on Knowledge Discovery and Data Mining, KDD ’16, 1135–1144. New York, NY, USA: Asso- ciation for Computing Machinery. ISBN 9781450342322. Schulman, J.; Wolski, F.; Dhariwal,</t>
        </is>
      </c>
      <c r="F89">
        <f>HYPERLINK("https://scholar.google.com/scholar?q=Counterfactual+state+explanations+for+reinforcement+learning+agents+via+generative+deep+learning.+Artificial+Intel-+lige","search")</f>
        <v/>
      </c>
      <c r="G89" s="3" t="n"/>
      <c r="H89" s="3" t="n"/>
      <c r="I89" s="3" t="n"/>
      <c r="J89" s="3" t="n"/>
      <c r="K89" t="inlineStr">
        <is>
          <t>Articles "Harnessing Spirituality to Combat Workplace Stress" Ritu Saxena, Vibhor Jain DOI 10.52783/jier.v6i1.4117  357  PDF: 402  PDF The Algorithmic Customer: An In-Depth Analysis of the Impact of Artificial Intelligence and Machine Learning on Personalized Marketing Sonal Sharma, Karishma Agarwal, Gourav Kamboj, Esha Mehta, Meenakshi Sharma, Seema Phogat, Sonam Singh  268  PDF: 292  PDF A study on Attitudinal and Emotional loyalty of Tourists towards Ayurvedic Tourism to build Kerala as an international Ayurvedic Tourism Brand Bijoy K P, Mrinmoy Battacharjee  149  PDF: 116  PDF Online Classroom Models and Learning Outcomes in Professional Education: A Quantitative Study of MBA Students Venkatachalam Ramakrishnan, N. Manikandan  123  PDF: 148  PDF Consumer Buying Behavior towards Luxury Branded Durable Goods in Patna City, Bihar, India Anumeha Singh, Anisa Khanam  151  PDF: 155  PDF A Study Of Emotional Intelligence Of Taekwondo Players Mr. Vipin Kumar Gautam, Dr. Madhusudan Chakraborty  132  PDF: 91  PDF A Descriptive Study On Personality Traits And Demographic Profile Of Individuals Using The Big Five Model S. K. Udhaya Jothi, Dr. M. Punitham  112  PDF: 89  PDF Climbing The Ladder: Digital Skills, Mentorship, And Career Growth Of Young Professionals Mrs.G.Vanitha, Dr.R.Ashokkumar2  112  PDF: 60  PDF The Role of Neuromarketing in Enhancing Digital Marketing Effectiveness Dr.V.Mythili, Dr.M.Aruna, Dr Poornima B, Dr. P. Preetha, Ms. Kanidha P  248  PDF: 124  PDF Role Of Brand Equity In Higher Education Ashish Tambe, Dr. Prerna Kumar  135  PDF: 118  PDF From Habermasian Hegemony of the Public Sphere to the Plurality of Digital Spaces: A Critical Sociological Study of the Reproduction of Collective Identities and Social Relations Under the Influence of Communication Technologies Arzazi Mohammad, Housny Hamra  109  PDF: 92  PDF Contribution of Modern Information and Communication Technology in Enhancing the Quality of Accounting Information: A Field Study Salah Haddad, Maamar Riahi  116  PDF: 75  PDF Cultural Roots and Culinary Revival: Integrating Indigenous Practices Into Sustainable Hospitality and Architecture Design Mr. Prashant Singh, Ms. Neha Mishra, Ms. Shrusti Sonker, Mr. Ashutosh Pathak, Mr. Shivansu Sachan, Mr. Ankit Kumar, Mr. Vanshika Srivastava DOI 10.52783/jier.v6i1.4154  125  PDF: 67  PDF Typography Without A Typographer: Reframing Authorship And Creative Agency In Ai-Driven Packaging Design In India Arjita Singh, Tanisha Wadhawan, Dr. Jyoti Agnihotri, Mr. Shivansu Sachan, Mr. Ankit Kumar, Ms. Aishwarya Arya, Ms. Vanshika Srivastava DOI 10.52783/jier.v6i1.4155  135  PDF: 106  PDF Depiction of Id, Ego and Superego in ‘Wuthering Heights’ by Emile Bronte Dr Kiran Mamgain, Ms Lajwanti M., Ms Aakshi Chhetri DOI 10.52783/jier.v6i1.4158  196  PDF: 73  PDF Service Quality and Its Effect on Customer Satisfaction in Digital Banking Mansi Mangla, Akanchha Singh, Sunil Kadyan DOI 10.52783/jier.v6i1.4159  259  PDF: 163  PDF The Role of Education Management Information Systems in Enhancing Academic Performance: A Systematic Review Sunaina Tyagi, Vinod Kumar Jain  221  PDF: 104  PDF Neuromarketing and Consumer Behaviour Mohd Azam, Atul Asthana, Arpit Verma  175  PDF: 117  PDF The Effect of Macroeconomic Factors on the Contribution of Systematic Investment Plans of Mutual Fund Schemes in India Rohini. S, M. Jayanthi DOI 10.52783/jier.v6i1.4162  141  PDF: 67  PDF Greening the Workforce: A Sustainable Human Resources Framework for SMEs through AI and Agile Methodologies Piyush Kumar, Balgopal Singh  98  PDF: 60  PDF Empowering Emotional Well-Being: Generation Z’s Openness to Relationship Support Services Neha Kaushik, Sakshi Kaul  129  PDF: 47  PDF Indian Diaspora and Its Role in Promoting India’s National Interest- An Evaluation Shekhar Choudhary, Parth Sharma  74  PDF: 102  PDF The Rise of Young and First-Time Investors in the Indian Stock Market after the COVID-19 pandemic Manoj Kumar, Deepak Kumar  106  PDF: 151  PDF An Empirical Investigation of Commercial Banks’ Impact on Financial Management, Macroeconomic Factors, And Financial Risks Debendra Shadangi, Sarika, Jalendar Reddy Maligireddy, Nisha K G, L. Vijayakumar, Putti Selvaraj DOI 10.52783/jier.v6i1.4167  125  PDF: 66  PDF The Impact of Digital Marketing Management and Quality of Service on the Sales Performance of Smes in the Digital Age Debendra Shadangi, H. H. Ramesha, Prachita Patil, Naveen Kumar B, L. Vijayakumar, Leelavathi H DOI 10.52783/jier.v6i1.4168  140  PDF: 77  PDF “Examining the Relationship Between Governance Structures and Financial Viability in Health Insurance Companies – An Empirical Study” Rakesh N, Vishal Srivastava DOI 10.52783/jier.v6i1.4174  96  PDF: 39  PDF A Comparative Study Of Depression Among Athletes And Non-Athletes Lokesh Adhikari, Madhusudan Chakraborty DOI 10.52783/jier.v6i1.4175  149  PDF: 84  PDF “A Study on Explainable Artificial Intelligence (AI) Techniques to Increase Transparency in Predictive Analytics for Education in India: Conceptual Analysis” Abhishek Jain, Shivani Gulati, Shama Rani, Vandana, Divyansh Taneja DOI 10.52783/jier.v6i1.4177  156  PDF: 78  PDF Impact of Regulatory Shocks and Consolidation on the Stock Market Reactions of Previously Merged firms in the Indian Automobile and Banking Sectors Ananya Saha, Deepak Kumar Kedia, Sreekumar, Biswajit Satpathy DOI 10.52783/jier.v6i1.4178  94  PDF: 65  PDF Advancing Global Competence in Higher Education through Education for Sustainable Development (ESD) Sanjay Kumar Singh, Shushant Yadav DOI 10.52783/jier.v6i1.4179  128  PDF: 68  PDF Index Rebalancing and its Valuation Ripple: A Deep Dive into Nifty 500 Companies Devyanshu Garg, Meena Sharma DOI 10.52783/jier.v6i1.4180  144  PDF: 113  PDF Influence of Social Media Marketing on the Brand Image of Higher Education Institutions: A Student Perspective Manisha Pipariya, Deepak Jaroliya, Pragya Jaroliya  109  PDF: 105  PDF HR Analytics Meets Customer Insights: Leveraging Marketing Metrics for Workforce Optimization Kavipragash R, Dinesh Gabhane, Sruthi S DOI 10.52783/jier.v6i1.4188  115  PDF: 55  PDF A Study on Evaluating Psychological Factors Influencing Plant-Based Diet Among Gen Z Ravi Kanji Chavda, Aparna Jain DOI 10.52783/jier.v6i1.4191  90  PDF: 68  PDF Impact of Global Tariff Wars on the Supply Chain of Pharmaceutical Raw Materials: A Study of Api and Fine Chemical Imports in India Kapil Dev Pandey  112  PDF: 61  PDF Achieving Competitive Advantage through Effective Human Resource Management and Sustainability in the Flexible Packaging Industry Parwez Izhar, Vineet Kaushik  56  PDF: 48  PDF Requirements for the Digitalization of Public Institutions and Administrations and Their Role in Modernizing Administrative Activity and Achieving Good Governance Aouane Ali, Menia Laid, Arib Mohamed DOI 10.52783/jier.v6i1.4196  113  PDF: 66  PDF The Effects of Using Artificial Intelligence Technologies on The Growth and Development of Emerging Institutions Bouzekri Achour, Omrane Dalila Batoul Manel DOI 10.52783/jier.v6i1.4197  101  PDF: 57  PDF Legal Governance of Competition in Public Procurement: Economic Implications and International Comparisons Meddah Rima Madjouba DOI 10.52783/jier.v6i1.4198  85  PDF: 48  PDF Newly introduced legal mechanisms for investment development in Algeria under Law 22/18 Moulay Zakaria, Limam cheref DOI 10.52783/jier.v6i1.4199  97  PDF: 33  PDF Impact of Adjustment and Academic Interest of Children of Working Women on their Educational Achievement in Mathematics and Science Mohit Kumar, Pawas Kumar Mandal DOI 10.52783/jier.v6i1.4205  102  PDF: 37  PDF The Role of Cultural Intelligence on Secondary School Students' Behavioral Development Savitri Karayat, Pawas Kumar Mandal DOI 10.52783/jier.v6i1.4206  99  PDF: 61  PDF Investigating the Relationship between Media Ownership and Editorial Content: A Study on the Influence of Corporate Interests on Journalism Ram Sunder Kumar, Ganesh Shankar, Lucky Parashar DOI 10.52783/jier.v6i1.4212  192  PDF: 73  PDF Integrating Classroom Pedagogies with Sustainable Development Goals: Fostering Skills for a Resilient Future Kavita Singh, Komal DOI 10.52783/jier.v6i1.4213  71  PDF: 39  PDF “The Progression of Anti-Money Laundering Regulations: A Global Perspective” Harminder Chopra, Kunal Shaktawat DOI 10.52783/jier.v6i1.4214  88  PDF: 52  PDF The Impact of Microbreaks on Employee Productivity in Hybrid Work Environments Natasha Parashuram Shroti, Krovvidi Krishna Kumari, Manish Jain DOI 10.52783/jier.v6i1.4216  181  PDF: 59  PDF Retracted DOI 10.52783/jier.v6i1.4222  93 “Ethical Artificial Intelligence in University HRM: Implications for Faculty Mental Satisfaction, Commitment and Retention” Neha Tiwari, Aditya Sharma  67  PDF: 47  PDF Challenges in Implementing Artificial Intelligence (AI) in the Research Area of Management Institutes Sandeep Moghe, Shankar Chaudhary  79  PDF: 31  PDF Bridging the Gap of Credit: A Micro-Level Analysis of Kisan Credit Card (KCC) in Prayagraj District Ayaz Ahmad  78  PDF: 44  PDF Assessing the Financial Impact of Covid-19 on Private Educational Institutions: A Study of Raipur Division Sakshi Kahar, Satya Kishan  69  PDF: 44  PDF "Who Finds Fulfillment at Work? Analyzing Job Satisfaction Disparities by Demographic Groups in Healthcare Settings of Mumbai City" Rashma Nathani, Seema Pandit DOI 10.52783/jier.v6i1.4230  87  PDF: 40  PDF Breaking the Silence: Laughter Percussion as a Transformative Modality in Counseling Psychology Idi Banamungu  215  PDF: 109  PDF Impact of Effective Teaching Strategies for the Students with Learning Disabilities Braj Kishore Jha, Pawas Kumar Mandal  65  PDF: 47  PDF Artificial Intelligence (Ai) In Human Resource Decision-Making: Opportunities, Risks, And Ethical Challenges Abdul Rahman Noordeen DOI 10.52783/jier.v6i1.4239  142  PDF: 43  PDF The Role of Artificial Intelligence (AI) and Emotional Intelligence in Enhancing Leadership Effectiveness and Team Performance Abdul Rahman Noordeen DOI 10.52783/jier.v6i1.4240  133  PDF: 72  PDF Risk-Adjusted Performance of Sustainable Mutual Funds: Evidence from Emerging and Developed Markets Safia Khan, Tarika Singh Sikarwar DOI 10.52783/jier.v6i1.4241  111  PDF: 62  PDF The literary Text from the Poetics of Genres to Textual Structures Kara Mostefa Noureddine DOI 10.52783/jier.v6i1.4242  60  PDF: 43  PDF Corporate Governance and Fraud Prevention: An Empirical Study of Indian Corporations Khushboo Singh DOI 10.52783/jier.v6i1.4243  119  PDF: 46  PDF Effect of Machine Learning on Human Resources, Marketing, and Financial Aspects of E-Commerce Nagarajan G, Aruna Gudimetla, P.GopinadhRao, G.Henry James, SVN Kumar DOI 10.52783/jier.v6i1.4244  103  PDF: 38  PDF The Impact of Staff Performance with Green Human Resource Management (HRM) Practices in Business Sustainability Ravi M.N, Suman Shetty N DOI 10.52783/jier.v6i1.4245  78  PDF: 44  PDF The Role of Internet of Things Data in Stock Market Forecasting: A New Frontier for Financial Management Jaymin Arvind Shah, Aditya Arvind Sontakke, Kaustubh Sontakke, Surbhi Sharma, Sumeet Gupta, D. Stalin David DOI 10.52783/jier.v6i1.4246  86  PDF: 37  PDF Mediating the Impact of Customer Relationship Management on the Influence of Online Purchase Intent through Digital Marketing Management Gajendra Kumar Gupta, Vivek Kumar Mishra, Pragati Malik, Mohammad Salahuddin Ansari, Mithilesh Kumar Tyagi DOI 10.52783/jier.v6i1.4247  97  PDF: 27  PDF Dharma, Artha and Yogakṣema: Re‑reading Indian Knowledge Systems through Śāstra, Upāya, Sāma and Dāna Abhishek Verma, Amarnath Paswan DOI 10.52783/jier.v6i1.4248  78  PDF: 62  PDF Enhancing Financial Performance and Sustainable Growth in Food Processing SMEs through Working Capital Management Optimization: A Systematic Literature Review Gahana G Shanbhag, Ujjawal Mishra, Vishal Singh Rajput, Krovvidi Krishna Kumari, Manish Jain DOI 10.52783/jier.v6i1.4249  99  PDF: 56  PDF Scientific Management in the Era of Artificial Intelligence A Socio-Organizational Interpretation Hadjadj Madani DOI 10.52783/jier.v6i1.4251  64  PDF: 32  PDF Financial Literacy and Investment Decisions: A Systematic Review of Empirical Evidence Sudha Pandey, Manjula Jain  72  PDF: 23  PDF A Study on Effect of Digital Practices on Sales Performance and Business Sustainability of Msmes Guru M C, Asifulla A DOI 10.52783/jier.v6i1.4255  69  PDF: 53  PDF Integration of Green Propellants in Advanced Chemical Propulsion Systems: Challenges and Innovations for Future Rocketry Jamil Mukthar DOI 10.52783/jier.v6i1.4257  79  PDF: 53  PDF Authenticity in Corporate Social Responsibility: Conceptualizing Employee Perceptions of CSR and Greenwashing in Indian Banking Jaimini Yagnik, Alvina Thomas DOI 10.52783/jier.v6i1.4266  72  PDF: 37  PDF The Future of Journalism in the Digital Age: An Indian Perspective Garima Rai, Shanu Jha, Aditya Uttam DOI 10.52783/jier.v6i1.4271  83  PDF: 66  PDF Exploring User Perception and Trust in Astrology Apps: A Study of Digital Astrology Adoption and Engagement Shruti Mishra, Raji Rajan, Himanshu Mathur, Shefali Shukla DOI 10.52783/jier.v6i1.4272  98  PDF: 23  PDF Media Law In the Digital Era: Regulatory Transformations, Judicial Safeguards, And Democratic Concerns in India Ram Sunder Kumar, Richa Chandi, Vikash Singhal DOI 10.52783/jier.v6i1.4273  76  PDF: 39  PDF Associations between Body Composition Indicators and Lower-Limb Explosive Performance in Elite Algerian Basketball Players Seyah Zakaria, larbi Mohammed, Abbache Ayoub  40  PDF: 19  PDF Integrating Smart HR 4.0 Technologies for Sustainable Talent Acquisition in Rural Handicraft Industries Mayank Chauhan, Nainsee Singh, V.K. Singh, Rajan Singh DOI 10.52783/jier.v6i1.4276  72  PDF: 41  PDF Organic Infrastructure vs. Inorganic Expansion: A Comparative Analysis of Capex-Led and Acquisition-Led Growth Strategies in Leading Indian Corporations (FY20–FY25). Aniket Sharma DOI 10.52783/jier.v6i1.4298  39  PDF: 51  PDF A Correlational Study of Triguna Traits and Psychological Well-Being of Indian Adults Nisha Matani, Megha Taragi, Anjana S. Chauhan, Hanshika Deep Mehta DOI 10.52783/jier.v6i1.4299  75  PDF: 43  PDF Intelligent Machine Learning-Based System for Disease Prediction and Drug Recommendation Syeda Maherunnisa, Vishal Walia  40  PDF: 32  PDF Biodegradable Waste Management at Institutional Site: An Overview Prerna Sharma, Anindita Roy Chowdhury DOI 10.52783/jier.v6i1.4305  45  PDF: 33  PDF Machine Learning and Artificial Intelligence Faux News Detection: A Review Analysis Jagriti Singh, Mahesh Chandra Joshi, Preeti Nagar DOI 10.52783/jier.v6i1.4306  72  PDF: 24  PDF Empowering Management: How AI Tools Are Revolutionizing Daily Corporate Tasks for Managers Prerna Sharma, Sheetal Yadav, Hemangi Rudhankar DOI 10.52783/jier.v6i1.4307  41  PDF: 26  PDF The Role of Artificial Intelligence in Enhancing Business Decision-Making: Challenges and Opportunities in Mumbai-Based Enterprises Shashank Khedekar, Samadhan Bundhe DOI 10.52783/jier.v6i1.4308  52  PDF: 30  PDF Performance Management Systems in Marketing: Aligning HRM Practices with Marketing Objectives Putti Selvaraj, Neha Choudhary, Shaurya Pratap Singh, M. Mohanraj, L. Vijayakumar, Deepak Singh Bhadauria DOI 10.52783/jier.v6i1.4309  93  PDF: 28  PDF Globalizing Entrepreneurship: How AI and IoT are Shaping Cross-Border Business Models and Market Strategies Parul Mittal, Shilpa Budhavale, Amit Kansal, Mahesh Soni, Swati Agarwal, D. Stalin David DOI 10.52783/jier.v6i1.4310  49  PDF: 25  PDF Social Media as a Dual HR and Marketing Tool: A Study on Brand Image and Talent Attraction Tushar Batra, Aaron Abhilash Yegudala, Deepak Devgan,Yadvinder Parmar  41  PDF: 21  PDF Structuring Investment Waqf Funds to Support Startups in Algeria: A Proposed Vision Aboubakre Samir Guioua, Saidi Mouloud, Guesseier Ahmed, Pr Chihab Ilimi  44  PDF: 52  PDF Bridging the Digital Literacy Divide: A Comparative Assessment of Financial Fraud Prevention Interventions in Urban and Rural Rajasthan Himanshu Sharma, Kamakshi Mehta, Renuka Kumawat, Subhabaha Pal  39  PDF: 32  PDF Enhancing Digital Retail Through Extended Reality: Consumer Experience and Behavioral Effects Karthikeyan K, D.Prashanth DOI 10.52783/jier.v6i1.4318  58  PDF: 31  PDF Reinventing Media Production: A Study on Modern Infrastructure and Emerging Technologies Surender Paliwal, Kuldeep Siwach DOI 10.52783/jier.v6i1.4319  41  PDF: 25  PDF Adaptive Assessment Engines: Reinforcement Learning in Personalized Academic Evaluation Richa Purohit, Swati Namdevrao Jadhav, Poonam DOI 10.52783/jier.v6i1.4323  91  PDF: 48  PDF From Cash to Connectivity: Digital Financial Inclusion and Market Participation among Zari-Zardozi Artisans Mohit Lohani, Vaniki Joshi Lohani, Pankaj Juneja, Bhupender Singh, Deepti Sharma DOI 10.52783/jier.v6i1.4324  64  PDF: 32  PDF The Use of Relaxation in the Therapy of Stuttering Ismail Hassani, Sakina Saadna, Bairi Rayen  76  PDF: 59  PDF A Study of the Impact of Social Media on the Academic Achievement of Higher Secondary Students Sarita Singh, Anjulata Yadav  191  PDF: 49  PDF The Exercise of National Agency for Tourist the Right of Emption Chafaa Ouankilla Lalla  46  PDF: 32  PDF The Human Security Approach in Confronting Pandemics within the Requirements of International Law: Challenges and Prospects Youssef Kaddour, Ammari Ayoub DOI 10.52783/jier.v6i1.4333  64  PDF: 8  PDF Retracted DOI 10.52783/jier.v6i1.4334  47 Adoption of Fintech Apps for Insurance Purchases: A Study on Consumer Behavior in Mumbai Suburban Manohar Vinod Pathre, Dr Mangesh Vasudeo Panchal  44  PDF: 29  PDF “Evaluating the Alignment of NCHMCT Curriculum with Industry Competency Requirements: A Study of Hospitality Institutions in Delhi NCR.” Yatendra Kumar, Akhil Kumar, Megha Anand, Dinesh Kumar, Nitin Gupta DOI 10.52783/jier.v6i1.4341  43  PDF: 28  PDF Impact of Social Media on Consumer Attitude towards Sustainable Beauty/Personal Care Brands in Mumbai Usha C. Kukreja, Ritu Lund, Soumya Subhash Kutty  57  PDF: 39  PDF Cultural and Digital Transformations and Their Impact on Linguistic Diversity- Towards the Dominance of a Single Language Nasri Zouaoui, Bouzidi Slimane  29  PDF: 24  PDF The History of the Printed Press in Algeria: A Socio-Historical Reading Ben Fatta Mokhtar, Reffas Nour Eddine, Bendida Baghdad, Hadji Rachid, Ailas Mohamed  44  PDF: 31  PDF Green Linguistics: Programming Linguistic Immunity for Artificial Intelligence Assia Sayad  76  PDF: 4  PDF Intuition over Logic? Emotional Branding and Consumer Persuasion in Competitive Markets Ch Siddharth Nanda, Kaushik Mishra  36  PDF: 28  PDF A Study of the Relationship Between Social Maturity and Mental Well-Being of Upper Primary Students Rajeev Kumar Jha, Naheed Bi DOI 10.52783/jier.v6i1.4347  44  PDF: 39  PDF Analysing the Influence of In-Store Technology on Retail Stores Towards Customer Satisfaction K.Vidhyakala DOI 10.52783/jier.v6i1.4353  46  PDF: 21  PDF Navigating Stress and Attitude: Unveiling Performance Drivers in Management Education Professionals Sambhaji Hindurao Kumbhar, Navneesh Tyagi DOI 10.52783/jier.v6i1.4358  43  PDF: 25  PDF Corporate Social Responsibility in Hospitality Dr. Pooja Gianchandani, Dr. Kavita Gupta, Dr. Girish Nandani, Mohd. Sayaid Khurshed Ahmad DOI 10.52783/jier.v6i1.4360  63  PDF: 39  PDF Connecting With Customers: The Impact Of Social Media On Customer Experience In The Telecom Sector Megha G. Bhatt, Dr. Mayuri V.Dhameliya  27  PDF: 21  PDF A Research Study on Women Investors' Attitudes toward Mutual Fund Investments in Rajkot city Kavita Gardharia, Dr. Laveena Dharmwani  49  PDF: 33  PDF Cyber Crime Laws: Adequacy of Existing Legal Frameworks Khoda Meena, Rajeshree Biswas, Nisha Agarwal, Saurab Nag  40  PDF: 30  PDF Status of Unemeployment in Jongksha Village East Kahsi Hills District of Shillong – An Empirical Study Bharath Narayanan DOI 10.52783/jier.v6i1.4367  45  PDF: 24  PDF Redesigning the Insurance Industry: Exploring Evolving Technologies for Insurance Pratik Priyadarshi, Bhanu Pratap DOI 10.52783/jier.v6i1.4371  56  PDF: 39  PDF A study on the Role of Human Resource Management Practices in Shaping Employee Performance Metrics in the Manufacturing Sector Dinesh Chand Gupta, Tanushri Purohit DOI 10.52783/jier.v6i1.4372  71  PDF: 39  PDF From Digital Infrastructure to Quality of Life: Examining the Role of Digital Welfare in Sustainable Growth Elagag Mustapha, Makhloufi Kenza, Mokaddem Tebra  33  PDF: 15  PDF A Machine Learning Framework for Automated Interview Feedback and Performance Evaluation Savitha G, Abhay Rupesh, Aditi Rao H, Anoushka Saini, Anna Sri Ranga Ganesh Anuraag  59  PDF: 30  PDF Integrating Behavioural Theory and Machine Learning to Predict Life Insurance Purchase Intention in India K. Sanjay DOI 10.52783/jier.v6i1.4378  37  PDF: 25  PDF Guest Experience and Repeat Occupancy: A Review of Literature on Service Quality in Bengaluru's Star Hotels Ramesh P Karturi, Aurobindo Kiriyakere DOI 10.52783/jier.v6i1.4379  34  PDF: 26  PDF Cognitive Distortions and Suicidal Ideation in the Digital Age: A Study of Gaming-Addicted Adolescents in Tripura, India Debanjana Mukherjee, Amrita Banerjee DOI 10.52783/jier.v6i1.4383  51  PDF: 28  PDF A Conceptual Framework for Fintech’s Influence on Banking Services in Emerging Markets Anukriti Mishra, Kranti Singh, Sakshi Raghuvanshi  81  PDF: 24  PDF Analysis of Human Resource Development Schemes for MSMEs in Haryana: A Review of Government and Industry Reports Pardeep Kumar, Manoj Kumar Meet, Sanjeev Kumar, Deepak Dixit  35  PDF: 16  PDF Victimology and Restorative Justice: A Critical Appraisal of Reconciliation in Rape Jurisprudence Manu Sharma, Abhilasha Thakur  41  PDF: 20  PDF Autonomous Compliance Systems: AI, Event Streaming, and the Future of Financial Crime Prevention P S L Narasimharao Davuluri  24  PDF: 10  PDF Autonomous Data Platforms: Converging AI, MLOps, and Cloud Engineering for Digital Velangani Divya Vardhan Kumar Bandi  27  PDF: 5  PDF Impact of Hybrid Work HR Policies on Employee Productivity in IT Sector Naina Salve, Vishal Dilip Chavan  56  PDF: 42  PDF Persistent Privacy and Data Security Concerns in the Context of Applicable Laws Siddharth Baskar, Vaasawa Sharma  22  PDF: 5  PDF Impact of Human Resource Training and Development Programs on Supply Chain Integration and Coordination D. C. Agrawal, Saumya Gupta, Ankit Bhati  35  PDF: 9  PDF Antecedents of Patient Satisfaction and Patient Loyalty in the Medical Tourism sector in Kerala, India. Mercy Toni, Jithina KK, Thomas KV, Tess Toni DOI 10.52783/jier.v6i1.4399  47  PDF: 21  PDF Competency Mapping to assess the Employability Readiness of Engineering Students in the Higher Education Institutions (HEIs) Anant Bhardwaj, Pankhuri Agarwal DOI 10.52783/jier.v6i1.4400  68  PDF: 30  PDF Moving Forward Through a Realistic Method of Constructive Conflict Transformation: Enabling People Through Mapping Their Psychological Capital M.Kousalyadevi  33  PDF: 16  PDF Sustainable Enterprises and Green Marketing Alignment: Pathways to Competitive Advantage Tenzin Choephel, Sumithra Sreenath, Shreya Madali  36  PDF: 13  PDF Blueprint for Derivative Excellence: Frameworks that Reduce Corporate Vulnerability in Market Turbulence Vibhum Bansal, Preeti Sharma, Vijay Kumar Jain  33  PDF: 47  PDF Customers’ Perceptions Toward Organised Retailing: An Analytical Study of Selected Cities in Odisha Pratap Kumar Pati, Umakanta Dash DOI 10.52783/jier.v6i1.4408  37  PDF: 11  PDF Gemini Program and Arabic Language Teaching: An Analytical Study Khadidja Kelatma, Amel May, Abdelkader Makhlouf, Ahmed Makhlouf  28  PDF: 6  PDF Assessment of Executive Functions (Inhibition and Cognitive Flexibility) in Children with Dyslexia Belkadi Nehed  15  PDF: 3  PDF Impact of Competitive Aggressiveness, Autonomy on Business Performance, and Proactiveness in selected MSMEs in Uttar Pradesh Asmita Singh, Raveesh Kumar Maurya DOI 10.52783/jier.v6i1.4412  34  PDF: 12  PDF Designing and Implementing Automated Systems for the Evaluation of Linguistic Competences Bedraoui Noura  19  PDF: 14  PDF Family Electronic Addiction as a Gateway to Family Silence: An Analytical Study Lassoued Manal, Chabbi Amina, Bouti Chahrazad  24  PDF: 10  PDF Artificial Intelligence in Indian- Higher Education in the 21st Century Sidam.Madhuar DOI 10.52783/jier.v6i1.4415  130  PDF: 67  PDF Innovating Sustainability: Transformative Pathways for Inclusive and Resilient Agricultural Development in Telangana State L Narsimlu DOI 10.52783/jier.v6i1.4416  28  PDF: 15  PDF Technological Diffusion And Sustainable Livelihoods In Scheduled Areas Of Telangana: Empirical Insights From Itda Bhadrachalam And Eturnagaram Ravikumar Sandra DOI 10.52783/jier.v6i1.4417  37  PDF: 12  PDF Artificial Intelligence-Driven Innovation In Higher Education System In India Shabana, R. A. Siddique, Rupam Sinha, Shoaib Ansari, Mohammad Shareef DOI 10.52783/jier.v6i1.4418  65  PDF: 34  PDF Monetary Policy and Digital Innovation as Catalysts for Sustainable Economic and Environmental Transformation in Oman’s Vision 2040 Umar Ali Khan, Vipin Jain DOI 10.52783/jier.v6i1.4419  35  PDF: 9  PDF The Mediating Role Of Intellectual Capital Disclosure Between Corporate Governance Attributes And Firm Value Yusaf Harun K, V Kavida, Mohamed Ali Kuniparambil DOI 10.52783/jier.v6i1.4420  41  PDF: 0  PDF Sustainability Between Reality and Illusion: Greenwashing practices in the Case of H&amp;amp;M Merraka Amel, Soltane Karima, Touil Yassemina, Ammari Samir  122  PDF: 82  PDF Examining the Effects of Self-Help Groups on Rural Women in the Context of Empowerment Dynamics and Sustainable Development Sanghamitra Behera, Puspalata Mahapatra DOI 10.52783/jier.v6i1.4426  40  PDF: 20  PDF Role of Forensic Accounting in Fraud Detection: Perception of Chartered Accountants in Ahmedabad Shah Mona Pravin Kumar, Marzun Jokhi  66  PDF: 17  PDF Evaluating the Role of Block chain in Modernizing the Indian Banking Infrastructure Vora Nidhi Shaileshbhai, Shreeda Shah  47  PDF: 20  PDF From Demo to Decision: How Clinical Demonstrations Influence Medical Device Purchase Outcomes in South India R. Prabusankar, H. Premkumar  26  PDF: 12  PDF An Empirical Structural Equation Modeling Approach Integrating FinTech, Artificial Intelligence, Blockchain, and Clean Technology Parul Tandan, Susmita Sarkar, Sunit Lakra, Damanti Mawrie DOI 10.52783/jier.v6i1.4430  62  PDF: 66  PDF A Study of Media Narratives on Odisha’s Role in Revitalizing Indian Hockey Utkalika Priyadarshini, Mehak Jonjua, Shishir Kumar Singh DOI 10.52783/jier.v6i1.4431  74  PDF: 21  PDF A Study of Influencing Factors in Health Insurance Policy Decision Making Among Consumers Deepali Garge DOI 10.52783/jier.v6i1.4432  63  PDF: 27  PDF Impact of Social Media Journalism on Public Opinion during Indian Elections Kanaparthi Pavani, K Rakesh DOI 10.52783/jier.v6i1.4435  99  PDF: 53  PDF An Investigation into the Relationship between Children's Feeding Habits and Their Nutritional Status (6–23 Months) In Rajasthan Goutam Sadhu  27  PDF: 11  PDF The Future of Justice: Navigating AI’s Ethical and Legal Maze In India’s Criminal Justice System Kritika Goyal, Shreya  64  PDF: 29  PDF Key Drivers for the Growth and Success of Fintech Companies with Reference to Bangalore Anita Rajendran, Y.Venkata Rangaiah DOI 10.52783/jier.v6i1.4439  46  PDF: 20  PDF Industry 4.0 Technologies In Education: Fostering Lifelong Learning And Addressing Student Diversity Devika S, Bhuwan Gupta, Sunil Jagannath Ghadge, Keshav Chandrakant Arote, Suman Lata, H. L. Khatri DOI 10.52783/jier.v5i4.4442  25  PDF: 18  PDF Sustainable Management and Development of Religious Tourism in Ramayana Circuit of Uttar Pradesh Satyendr Kumar Chaudhari, Anshima Srivastava  40  PDF: 11  PDF Does Emotional Intelligence Shape Team Success? An Empirical Study of Emotional Intelligence, Team Processes, and Academic Performance in Collaborative Learning Environments Mr. Rahul H. , Dr. Anil Dongre  30  PDF: 9  PDF Carbon-Aware Resource Management in Cloud, Edge, and AI Platforms: A Comprehensive Survey Bhavya N, R.K. Bharathi  72  PDF: 22  PDF Building High-Performance Cross-Cultural Teams: Hr Innovation Strategies For Globalized Hotel Operations Muralidharan, Preetha Rajendran DOI 10.52783/jier.v6i1.4452  34  PDF: 12  PDF Human–AI Collaboration in Financial Decision-Making: A Comprehensive Bibliometric Analysis (2015–2025) Sharda Kumari DOI 10.52783/jier.v6i1.4453  81  PDF: 23  PDF Between Gods and Ghosts: Gothic Resonances in Kavita Kane’s Mythological Narratives Abhishek Godara, Priyanka Yadav  23  PDF: 13  PDF Understanding Classroom Engagement through Teacher Practices for Learners with ADHD: A study of Indian School Students Manleen Kaur, Rekha Kaushal DOI 10.52783/jier.v6i1.4460  73  PDF: 19  PDF Exploring The Key Antecedents of Burnout in Women Police: An Interpretative Structural Modeling Approach Hiremath V.M.R, H. R. Ganesha DOI 10.52783/jier.v6i1.4461  50  PDF: 19  PDF Examining Hospitality Workforce Job Stress on Work Performance and Job Outcomes mediated by Emotional Labour Srividya Vedasnata, Dr. Sumita Mishra, Dr. Sarat Kumar Mishra DOI 10.52783/jier.v6i1.4462  46  PDF: 10  PDF Investment Behaviour and Financial Decision-Making of Engineering Faculty: A Behavioural and Analytical Approach Naveen Kumar T S, Dr. Sureshramana Mayya DOI 10.52783/jier.v6i1.4464  66  PDF: 15  PDF A Comparative Study of the Effect of Gst Exemption on Health Insurance Penetration and Financial Inclusion in India Devendra D. Singh, Alpesh Mehta DOI 10.52783/jier.v6i1.4465  60  PDF: 18  PDF Role of Hr Policies in Managing Moonlighting and Organisational Commitment in the it Sector in India Ria Rajesh Parwani, Tejashree Deshmukh DOI 10.52783/jier.v6i1.4466  33  PDF: 10  PDF Augmenting Regulatory Intelligence: How Ai-Driven Behavioral Analytics Can Inform Sebi’s Oversight Framework in the Age of Algorithmic Trading and Retail Investor Proliferation Jeevan Thombare DOI 10.52783/jier.v6i1.4467  71  PDF: 17  PDF Faceless Assessment Under the Indian Income-Tax Regime: A Taxpayer-Centric Perspective on Approaches, Challenges and Solutions Umesh Suresh Kolapkar, Tejashree Deshmukh DOI 10.52783/jier.v6i1.4468  86  PDF: 21  PDF Interface of Human Intelligence and Artificial Intelligence: Possibilities and Challenges for the Indian Legal Educational Framework Sukdeo Ingale DOI 10.52783/jier.v6i1.4469  42  PDF: 17  PDF Invisible Battles in the Classroom: How Teachers Identify and Respond to Silent Mental Health Issues in Indian Youth Elizabeth Dias, Kinnarie Singh DOI 10.52783/jier.v6i1.4470  33  PDF: 12  PDF Ludic Narrative Structure and Character Formation in Susanna Clare’s Piranesi K. Priyadharshini, K. Shantichitra DOI 10.52783/jier.v6i1.4471  35  PDF: 14  PDF Generative AI and the Microfoundations of Dynamic Human Resource Capabilities: A Conceptual Framework Integrating HR Analytics and Leadership Agility Yazid Bensaoucha, Youness Haouassi, Mounir Azouz, Fateh Zaiter DOI 10.52783/jier.v6i1.4475  58  PDF: 15  PDF A Comprehensive review of Renewable-Integrated Optimization Models for Sustainable Airport Operations Vasuki G DOI 10.52783/jier.v6i1.4476  15  PDF: 5  PDF Compensation Rights of Crime Victims in Nepal: A Victimological Study of Murder Victims in Morang District KoshrajNeupane, Debarati Halder, Jivesh Jha DOI 10.52783/jier.v6i1.4478  40  PDF: 10  PDF “BRIDGING Vision Realisation Strategic Planning with Employee Optimization Outcomes and Engagement PERSPECTIVE” R. Rangarajan, Neelavathy V DOI 10.52783/jier.v6i1.4479  33  PDF: 7  PDF Neuroimaging and Learning Opportunities: Advancing Sustainable Development Goals for Blind Children Anirudh Chinta DOI 10.52783/jier.v6i1.4480  21  PDF: 10  PDF From Access to Agency: Financial Inclusion as a Catalyst for Socioeconomic Mobility in Emerging Markets Ganesh, Subbarayudu Thunga DOI 10.52783/jier.v6i1.4482  43  PDF: 21  PDF A Study of Engagement Trust and Interaction in the Era of Digital Transformation and Customer Distance in Life Insurance Services Sathya Prakash Urs S N, Mohammed Mansoor Ahmed Pillai  6  PDF: 4  PDF Microfinance and Enterprise Empowerment: A Regional Study of Entrepreneurial Advancement in Chhattisgarh Shilpi Yadav, Priyanka Bagh  4  PDF: 1  PDF Accuracy And Risk: Drivers Of Strategic Trading Decisions Naresh1, Ankur Aggarwal DOI 10.52783/jier.v6i1.4492  8  PDF: 3  PDF Beyond the Loop: A Tripartite typology of human-machine collaboration. Sagar Patil, Suneel Sharma, Mehregan Mahdavi DOI 10.52783/jier.v6i1.4493  15  PDF: 8  PDF Unlocking Digital Financial Inclusion on Economic Growth: Cross-country study using panel data Nigama K, Selvabaskar S, Haritha K, Sekarini S DOI 10.52783/jier.v6i1.4494  10  PDF: 4  PDF Bridging the Last Mile: The Battle Against UPI Fr</t>
        </is>
      </c>
      <c r="L89" t="inlineStr">
        <is>
          <t>Journal of Informatics Education and Research</t>
        </is>
      </c>
      <c r="M89" t="n">
        <v>2026</v>
      </c>
      <c r="N89" t="inlineStr">
        <is>
          <t>10.52783/jier.v6i1.4539</t>
        </is>
      </c>
      <c r="O89" t="inlineStr">
        <is>
          <t>YES</t>
        </is>
      </c>
      <c r="P89" s="3" t="n"/>
    </row>
    <row r="90" ht="42" customHeight="1">
      <c r="A90" t="inlineStr">
        <is>
          <t>V089</t>
        </is>
      </c>
      <c r="B90" t="inlineStr">
        <is>
          <t>2026</t>
        </is>
      </c>
      <c r="C90" t="inlineStr">
        <is>
          <t>Arxiv_General_Latest</t>
        </is>
      </c>
      <c r="D90" t="inlineStr">
        <is>
          <t>2604.19542v1.pdf</t>
        </is>
      </c>
      <c r="E90" s="2" t="inlineStr">
        <is>
          <t>O. Savin. Regularity of flat level sets in phase transitions. Annals of Mathematics, 169(1):41–78, 2009.</t>
        </is>
      </c>
      <c r="F90">
        <f>HYPERLINK("https://scholar.google.com/scholar?q=O.+Savin.+Regularity+of+flat+level+sets+in+phase+transitions.+Annals+of+Mathematics%2C+169%281%29%3A41%E2%80%9378%2C+2009.","search")</f>
        <v/>
      </c>
      <c r="G90" s="3" t="n"/>
      <c r="H90" s="3" t="n"/>
      <c r="I90" s="3" t="n"/>
      <c r="J90" s="3" t="n"/>
      <c r="K90" t="inlineStr">
        <is>
          <t>Regularity of flat level sets in phase transitions</t>
        </is>
      </c>
      <c r="L90" t="inlineStr">
        <is>
          <t>Annals of Mathematics</t>
        </is>
      </c>
      <c r="M90" t="n">
        <v>2009</v>
      </c>
      <c r="N90" t="inlineStr">
        <is>
          <t>10.4007/annals.2009.169.41</t>
        </is>
      </c>
      <c r="O90" t="inlineStr">
        <is>
          <t>NO</t>
        </is>
      </c>
      <c r="P90" s="3" t="n"/>
    </row>
    <row r="91" ht="42" customHeight="1">
      <c r="A91" t="inlineStr">
        <is>
          <t>V090</t>
        </is>
      </c>
      <c r="B91" t="inlineStr">
        <is>
          <t>2023</t>
        </is>
      </c>
      <c r="C91" t="inlineStr">
        <is>
          <t>NeurIPS_2023</t>
        </is>
      </c>
      <c r="D91" t="inlineStr">
        <is>
          <t>082d3d795520c43214da5123e56a3a34-Paper-Conference.pdf</t>
        </is>
      </c>
      <c r="E91" s="2" t="inlineStr">
        <is>
          <t>[29] Kyle Sargent, Jing Yu Koh, Han Zhang, Huiwen Chang, Charles Herrmann, Pratul Srinivasan, Jiajun Wu, and Deqing Sun. VQ3D: Learning a 3D-aware generative model on ImageNet. In Proceedings of the IEEE/CVF International Conference on Computer Vision (ICCV), 2023.</t>
        </is>
      </c>
      <c r="F91">
        <f>HYPERLINK("https://scholar.google.com/scholar?q=%5B29%5D+Kyle+Sargent%2C+Jing+Yu+Koh%2C+Han+Zhang%2C+Huiwen+Chang%2C+Charles+Herrmann%2C+Pratul+Srinivasan%2C+Jiajun+Wu%2C+and+Deqing+Sun.","search")</f>
        <v/>
      </c>
      <c r="G91" s="3" t="n"/>
      <c r="H91" s="3" t="n"/>
      <c r="I91" s="3" t="n"/>
      <c r="J91" s="3" t="n"/>
      <c r="K91" t="inlineStr">
        <is>
          <t>VQ3D: Learning a 3D-Aware Generative Model on ImageNet</t>
        </is>
      </c>
      <c r="L91" t="inlineStr">
        <is>
          <t>2023 IEEE/CVF International Conference on Computer Vision (ICCV)</t>
        </is>
      </c>
      <c r="M91" t="n">
        <v>2023</v>
      </c>
      <c r="N91" t="inlineStr">
        <is>
          <t>10.1109/iccv51070.2023.00391</t>
        </is>
      </c>
      <c r="O91" t="inlineStr">
        <is>
          <t>YES</t>
        </is>
      </c>
      <c r="P91" s="3" t="n"/>
    </row>
    <row r="92" ht="42" customHeight="1">
      <c r="A92" t="inlineStr">
        <is>
          <t>V091</t>
        </is>
      </c>
      <c r="B92" t="inlineStr">
        <is>
          <t>2025</t>
        </is>
      </c>
      <c r="C92" t="inlineStr">
        <is>
          <t>Arxiv_CS_2025</t>
        </is>
      </c>
      <c r="D92" t="inlineStr">
        <is>
          <t>2502.05402v1.pdf</t>
        </is>
      </c>
      <c r="E92" s="2" t="inlineStr">
        <is>
          <t>Aroosh Fatima, Wajahat Hussain, and Shahzad Rasool. Grey is the new rgb: How good is gan-based image colorization for image compression? Multimedia tools and applications, 80(3):3775–3791, 2021. 1, 2, 3</t>
        </is>
      </c>
      <c r="F92">
        <f>HYPERLINK("https://scholar.google.com/scholar?q=Aroosh+Fatima%2C+Wajahat+Hussain%2C+and+Shahzad+Rasool.+Grey+is+the+new+rgb%3A+How+good+is+gan-based+image+colorization+for+im","search")</f>
        <v/>
      </c>
      <c r="G92" s="3" t="n"/>
      <c r="H92" s="3" t="n"/>
      <c r="I92" s="3" t="n"/>
      <c r="J92" s="3" t="n"/>
      <c r="K92" t="inlineStr">
        <is>
          <t>Grey is the new RGB: How good is GAN-based image colorization for image compression?</t>
        </is>
      </c>
      <c r="L92" t="inlineStr">
        <is>
          <t>Multimedia Tools and Applications</t>
        </is>
      </c>
      <c r="M92" t="n">
        <v>2020</v>
      </c>
      <c r="N92" t="inlineStr">
        <is>
          <t>10.1007/s11042-020-09861-y</t>
        </is>
      </c>
      <c r="O92" t="inlineStr">
        <is>
          <t>YES</t>
        </is>
      </c>
      <c r="P92" s="3" t="n"/>
    </row>
    <row r="93" ht="42" customHeight="1">
      <c r="A93" t="inlineStr">
        <is>
          <t>V092</t>
        </is>
      </c>
      <c r="B93" t="inlineStr">
        <is>
          <t>2016</t>
        </is>
      </c>
      <c r="C93" t="inlineStr">
        <is>
          <t>NeurIPS_2016</t>
        </is>
      </c>
      <c r="D93" t="inlineStr">
        <is>
          <t>018b59ce1fd616d874afad0f44ba338d-Paper.pdf</t>
        </is>
      </c>
      <c r="E93" s="2" t="inlineStr">
        <is>
          <t>V. Sheng, F. Provost, and P. Ipeirotis. Get another label? Improving data quality using multiple, noisy labelers. In ACM SIGKDD Conferences on Knowledge Discovery and Data Mining (KDD), 2008.</t>
        </is>
      </c>
      <c r="F93">
        <f>HYPERLINK("https://scholar.google.com/scholar?q=V.+Sheng%2C+F.+Provost%2C+and+P.+Ipeirotis.+Get+another+label%3F+Improving+data+quality+using+multiple%2C+noisy+labelers.+In+ACM","search")</f>
        <v/>
      </c>
      <c r="G93" s="3" t="n"/>
      <c r="H93" s="3" t="n"/>
      <c r="I93" s="3" t="n"/>
      <c r="J93" s="3" t="n"/>
      <c r="K93" t="inlineStr">
        <is>
          <t>Get another label? improving data quality and data mining using multiple, noisy labelers</t>
        </is>
      </c>
      <c r="L93" t="inlineStr">
        <is>
          <t>Proceedings of the 14th ACM SIGKDD international conference on Knowledge discovery and data mining</t>
        </is>
      </c>
      <c r="M93" t="n">
        <v>2008</v>
      </c>
      <c r="N93" t="inlineStr">
        <is>
          <t>10.1145/1401890.1401965</t>
        </is>
      </c>
      <c r="O93" t="inlineStr">
        <is>
          <t>NO</t>
        </is>
      </c>
      <c r="P93" s="3" t="n"/>
    </row>
    <row r="94" ht="42" customHeight="1">
      <c r="A94" t="inlineStr">
        <is>
          <t>V093</t>
        </is>
      </c>
      <c r="B94" t="inlineStr">
        <is>
          <t>2025</t>
        </is>
      </c>
      <c r="C94" t="inlineStr">
        <is>
          <t>Arxiv_CS_2025</t>
        </is>
      </c>
      <c r="D94" t="inlineStr">
        <is>
          <t>2502.03482v1.pdf</t>
        </is>
      </c>
      <c r="E94" s="2" t="inlineStr">
        <is>
          <t>Anindo Saha, Joeran S Bosma, Jasper J Twilt, Bram van Ginneken, Anders Bjartell, Anwar R Padhani, David Bonekamp, Geert Villeirs, Georg Salomon, Gianluca Giannarini, Jayashree Kalpathy-Cramer, Jelle Barentsz, Klaus H Maier-Hein, Mirabela Rusu, Olivier Rouvière, Roderick van den Bergh, Valeria Panebianco, Veeru Kasivisvanathan, Nancy A Obuchowski, Derya Yakar, Mattijs Elschot, Jeroen Veltman, Jurgen J Fütterer, Constant R. Noordman, Ivan Slootweg, Christian Roest, Stefan J. Fransen, Mohammed R.S.</t>
        </is>
      </c>
      <c r="F94">
        <f>HYPERLINK("https://scholar.google.com/scholar?q=Anindo+Saha%2C+Joeran+S+Bosma%2C+Jasper+J+Twilt%2C+Bram+van+Ginneken%2C+Anders+Bjartell%2C+Anwar+R+Padhani%2C+David+Bonekamp%2C+Geert+","search")</f>
        <v/>
      </c>
      <c r="G94" s="3" t="n"/>
      <c r="H94" s="3" t="n"/>
      <c r="I94" s="3" t="n"/>
      <c r="J94" s="3" t="n"/>
      <c r="K94" t="inlineStr">
        <is>
          <t>Artificial intelligence and radiologists in prostate cancer detection on MRI (PI-CAI): an international, paired, non-inferiority, confirmatory study</t>
        </is>
      </c>
      <c r="L94" t="inlineStr">
        <is>
          <t>The Lancet Oncology</t>
        </is>
      </c>
      <c r="M94" t="n">
        <v>2024</v>
      </c>
      <c r="N94" t="inlineStr">
        <is>
          <t>10.1016/s1470-2045(24)00220-1</t>
        </is>
      </c>
      <c r="O94" t="inlineStr">
        <is>
          <t>NO</t>
        </is>
      </c>
      <c r="P94" s="3" t="n"/>
    </row>
    <row r="95" ht="42" customHeight="1">
      <c r="A95" t="inlineStr">
        <is>
          <t>V094</t>
        </is>
      </c>
      <c r="B95" t="inlineStr">
        <is>
          <t>2016</t>
        </is>
      </c>
      <c r="C95" t="inlineStr">
        <is>
          <t>NeurIPS_2016</t>
        </is>
      </c>
      <c r="D95" t="inlineStr">
        <is>
          <t>286674e3082feb7e5afb92777e48821f-Paper.pdf</t>
        </is>
      </c>
      <c r="E95" s="2" t="inlineStr">
        <is>
          <t>Tai Qin and Karl Rohe. Regularized spectral clustering under the degree-corrected stochastic blockmodel. In Advances in Neural Information Processing Systems, pages 3120–3128, 2013.</t>
        </is>
      </c>
      <c r="F95">
        <f>HYPERLINK("https://scholar.google.com/scholar?q=Tai+Qin+and+Karl+Rohe.+Regularized+spectral+clustering+under+the+degree-corrected+stochastic+blockmodel.+In+Advances+in+","search")</f>
        <v/>
      </c>
      <c r="G95" s="3" t="n"/>
      <c r="H95" s="3" t="n"/>
      <c r="I95" s="3" t="n"/>
      <c r="J95" s="3" t="n"/>
      <c r="K95" t="inlineStr">
        <is>
          <t>Spectral Clustering on Spherical Coordinates Under the Degree-Corrected Stochastic Blockmodel</t>
        </is>
      </c>
      <c r="L95" t="inlineStr">
        <is>
          <t>Technometrics</t>
        </is>
      </c>
      <c r="M95" t="n">
        <v>2022</v>
      </c>
      <c r="N95" t="inlineStr">
        <is>
          <t>10.1080/00401706.2021.2008503</t>
        </is>
      </c>
      <c r="O95" t="inlineStr">
        <is>
          <t>NO</t>
        </is>
      </c>
      <c r="P95" s="3" t="n"/>
    </row>
    <row r="96" ht="42" customHeight="1">
      <c r="A96" t="inlineStr">
        <is>
          <t>V095</t>
        </is>
      </c>
      <c r="B96" t="inlineStr">
        <is>
          <t>2016</t>
        </is>
      </c>
      <c r="C96" t="inlineStr">
        <is>
          <t>Arxiv_CS_2016</t>
        </is>
      </c>
      <c r="D96" t="inlineStr">
        <is>
          <t>1609.04337v2.pdf</t>
        </is>
      </c>
      <c r="E96" s="2" t="inlineStr">
        <is>
          <t>J. ˇZbontar, Y. LeCun, Computing the Stereo Matching Cost with a Con- volutional Neural Network, arXiv preprint arXiv:1409.4326 (2014).</t>
        </is>
      </c>
      <c r="F96">
        <f>HYPERLINK("https://scholar.google.com/scholar?q=J.+%CB%87Zbontar%2C+Y.+LeCun%2C+Computing+the+Stereo+Matching+Cost+with+a+Con-+volutional+Neural+Network%2C+arXiv+preprint+arXiv%3A14","search")</f>
        <v/>
      </c>
      <c r="G96" s="3" t="n"/>
      <c r="H96" s="3" t="n"/>
      <c r="I96" s="3" t="n"/>
      <c r="J96" s="3" t="n"/>
      <c r="K96" t="inlineStr">
        <is>
          <t>Computing the stereo matching cost with a convolutional neural network</t>
        </is>
      </c>
      <c r="L96" t="inlineStr">
        <is>
          <t>2015 IEEE Conference on Computer Vision and Pattern Recognition (CVPR)</t>
        </is>
      </c>
      <c r="M96" t="n">
        <v>2015</v>
      </c>
      <c r="N96" t="inlineStr">
        <is>
          <t>10.1109/cvpr.2015.7298767</t>
        </is>
      </c>
      <c r="O96" t="inlineStr">
        <is>
          <t>NO</t>
        </is>
      </c>
      <c r="P96" s="3" t="n"/>
    </row>
    <row r="97" ht="42" customHeight="1">
      <c r="A97" t="inlineStr">
        <is>
          <t>V096</t>
        </is>
      </c>
      <c r="B97" t="inlineStr">
        <is>
          <t>2016</t>
        </is>
      </c>
      <c r="C97" t="inlineStr">
        <is>
          <t>Arxiv_CS_2016</t>
        </is>
      </c>
      <c r="D97" t="inlineStr">
        <is>
          <t>1608.08176v4.pdf</t>
        </is>
      </c>
      <c r="E97" s="2" t="inlineStr">
        <is>
          <t>B. Vasilescu, A. Serebrenik, T. Mens, A historical dataset of software en- gineering conferences, in: Proceedings of the 10th Working Conference on Mining Software Repositories, IEEE Press, 2013, pp. 373–376.</t>
        </is>
      </c>
      <c r="F97">
        <f>HYPERLINK("https://scholar.google.com/scholar?q=B.+Vasilescu%2C+A.+Serebrenik%2C+T.+Mens%2C+A+historical+dataset+of+software+en-+gineering+conferences%2C+in%3A+Proceedings+of+the","search")</f>
        <v/>
      </c>
      <c r="G97" s="3" t="n"/>
      <c r="H97" s="3" t="n"/>
      <c r="I97" s="3" t="n"/>
      <c r="J97" s="3" t="n"/>
      <c r="K97" t="inlineStr">
        <is>
          <t>A historical dataset of software engineering conferences</t>
        </is>
      </c>
      <c r="L97" t="inlineStr">
        <is>
          <t>2013 10th Working Conference on Mining Software Repositories (MSR)</t>
        </is>
      </c>
      <c r="M97" t="n">
        <v>2013</v>
      </c>
      <c r="N97" t="inlineStr">
        <is>
          <t>10.1109/msr.2013.6624051</t>
        </is>
      </c>
      <c r="O97" t="inlineStr">
        <is>
          <t>NO</t>
        </is>
      </c>
      <c r="P97" s="3" t="n"/>
    </row>
    <row r="98" ht="42" customHeight="1">
      <c r="A98" t="inlineStr">
        <is>
          <t>V097</t>
        </is>
      </c>
      <c r="B98" t="inlineStr">
        <is>
          <t>2023</t>
        </is>
      </c>
      <c r="C98" t="inlineStr">
        <is>
          <t>Arxiv_Bio_2023</t>
        </is>
      </c>
      <c r="D98" t="inlineStr">
        <is>
          <t>2306.08096v1.pdf</t>
        </is>
      </c>
      <c r="E98" s="2" t="inlineStr">
        <is>
          <t>Piyush B Gupta, Christine M Fillmore, Guozhi Jiang, Sagi D Shapira, Kai Tao, Char- lotte Kuperwasser, and Eric S Lander. Stochastic state transitions give rise to phenotypic equilibrium in populations of cancer cells. Cell, 146(4):633–644, 2011.</t>
        </is>
      </c>
      <c r="F98">
        <f>HYPERLINK("https://scholar.google.com/scholar?q=Piyush+B+Gupta%2C+Christine+M+Fillmore%2C+Guozhi+Jiang%2C+Sagi+D+Shapira%2C+Kai+Tao%2C+Char-+lotte+Kuperwasser%2C+and+Eric+S+Lander.","search")</f>
        <v/>
      </c>
      <c r="G98" s="3" t="n"/>
      <c r="H98" s="3" t="n"/>
      <c r="I98" s="3" t="n"/>
      <c r="J98" s="3" t="n"/>
      <c r="K98" t="inlineStr">
        <is>
          <t>Stochastic State Transitions Give Rise to Phenotypic Equilibrium in Populations of Cancer Cells</t>
        </is>
      </c>
      <c r="L98" t="inlineStr">
        <is>
          <t>Cell</t>
        </is>
      </c>
      <c r="M98" t="n">
        <v>2011</v>
      </c>
      <c r="N98" t="inlineStr">
        <is>
          <t>10.1016/j.cell.2011.07.026</t>
        </is>
      </c>
      <c r="O98" t="inlineStr">
        <is>
          <t>NO</t>
        </is>
      </c>
      <c r="P98" s="3" t="n"/>
    </row>
    <row r="99" ht="42" customHeight="1">
      <c r="A99" t="inlineStr">
        <is>
          <t>V098</t>
        </is>
      </c>
      <c r="B99" t="inlineStr">
        <is>
          <t>2025</t>
        </is>
      </c>
      <c r="C99" t="inlineStr">
        <is>
          <t>Arxiv_CS_2025</t>
        </is>
      </c>
      <c r="D99" t="inlineStr">
        <is>
          <t>2501.11183v1.pdf</t>
        </is>
      </c>
      <c r="E99" s="2" t="inlineStr">
        <is>
          <t xml:space="preserve">URL https://www.theverge.com/2024/7/19/24201414/openai-chatgpt-gpt- 4o-prompt-injection-instruction-hierarchy. Ryan Roemer, Erik Buchanan, Hovav Shacham, and Stefan Savage. Return-oriented programming: Systems, languages, and applications. ACM Transactions on Information and System Security (TISSEC), 15(1):1–34, 2012. J. Rosenberg. Chapter 6 - security in embedded systems. In Augusto Vega, Pradip Bose, and Alper Buyuktosunoglu, editors, Rugged Embedded Systems, pages 149–205. Morgan Kauf- mann, </t>
        </is>
      </c>
      <c r="F99">
        <f>HYPERLINK("https://scholar.google.com/scholar?q=URL+https%3A%2F%2Fwww.theverge.com%2F2024%2F7%2F19%2F24201414%2Fopenai-chatgpt-gpt-+4o-prompt-injection-instruction-hierarchy.+Ryan+Roem","search")</f>
        <v/>
      </c>
      <c r="G99" s="3" t="n"/>
      <c r="H99" s="3" t="n"/>
      <c r="I99" s="3" t="n"/>
      <c r="J99" s="3" t="n"/>
      <c r="K99" t="inlineStr">
        <is>
          <t>(2021) Volume 2, Issue 4 Cultural Implications of China Pakistan Economic Corridor (CPEC Authors:	 Dr. Unsa Jamshed Amar Jahangir Anbrin Khawaja Abstract:	This study is an attempt to highlight the cultural implication of CPEC on Pak-China relations, how it will align two nations culturally, and what steps were taken by the governments of two states to bring the people closer. After the establishment of diplomatic relations between Pakistan and China, the cultural aspect of relations between the two states also moved forward. The flow of cultural delegations intensified after the 2010, because this year was celebrated as the ‘Pak-China Friendship Year’. This dimension of relations further cemented between the two states with the signing of CPEC in April 2015. CPEC will not only bring economic prosperity in Pakistan but it will also bring two states culturally closer. The roads and other communication link under this project will become source of cultural flow between the two states. Keyswords:	China, CPEC, Culture, Exhibitions Pages:	01-11 Article:	1 , Volume 2 , Issue 4 DOI Number:	10.47205/jdss.2021(2-IV)01 DOI Link:	http://doi.org/10.47205/jdss.2021(2-IV)01 Download Pdf:	 download pdf  view article Creative Commons License Political Persona on Twittersphere: Comparing the Stardom of Prime Minister(s) of Pakistan, UK and India Authors:	 Maryam Waqas Mudassar Hussain Shah Saima Kausar Abstract:	Political setup demands to use Twittersphere for preserving its reputation because of significant twitter audience, which follows celebrities and political figures. In this perspective, political figures frequently use twitter to highlight their political as well as personal lives worldwide. However, political figures take the stardom status among the twitter audience that follow, retweet and comment by their fans. The purpose of this study is, to analyze what kind of language, level of interest is made by political figures while communicating via twitter, text, phrases and languages used by political figures, and do their tweets contribute in their reputation. The qualitative content analysis is used for evaluation of the interests shared by PM Imran Khan, PM Boris John Son and PM Narendra Modi with the key words of tweets. A well-established coding sheet is developed for the analysis of text, phrases and words in the frames of negative, positive and neutral from March 2020 to May 2020. The results are demonstrating on the basis of content shared by Prime Ministers of three countries i.e., From Pakistan, Imran Khan, United Kingdom, Johnson Boris and India, Narendra Modi on twitter. The findings also reveal that varied issues discussed in tweets, significantly positive and neutral words are selected by these political figures. PM Imran tweeted more negative tweets than PM Boris Johnson and PM Narendra Modi. However, PM Boris Johnson and PM Narendra Modi make significant positive and neutral tweets. It is observed that political figures are conscious about their personal reputation while tweeting. It also revealed that the issues and tweets shared by these leaders contribute to their personal reputation. Keyswords:	Imran Khan, Johnson Boris, Narendra Modi, Political Persona, Stardom, Twittersphere Pages:	12-23 Article:	2 , Volume 2 , Issue 4 DOI Number:	10.47205/jdss.2021(2-IV)02 DOI Link:	http://doi.org/10.47205/jdss.2021(2-IV)02 Download Pdf:	 download pdf  view article Creative Commons License An Empirical Relationship between Government Size and Economic Growth of Pakistan in the Presence of Different Budget Uncertainty Measures Authors:	 Sunila Jabeen Dr. Wasim Shahid Malik Abstract:	Relationship between government size and economic growth has always been a debated issue all over the world since the formative work of Barro (1990). However, this relationship becomes more questionable when policy uncertainty is added in it. Hence, this paper presents evidence on the effect of government size on economic growth in the presence of budget uncertainty measured through three different approaches. Rather than relying on the traditional and complicated measures of uncertainty, a new method of measuring uncertainty based on government budget revisions of total spending is introduced and compared with the other competing approaches. Using time series annual data from 1973-2018, the short run and long run coefficients from Autoregressive Distributed Lag (ARDL) framework validate the negative effect of budget uncertainty and government size on economic growth of Pakistan regardless of the uncertainty measure used. Therefore, to attain the long run economic growth, along with the control on the share of government spending in total GDP, government should keep the revisions in the budget as close to the initial announcements as it can so that uncertainty can be reduced. Further, the uncertainty in fiscal spending calculated through the deviation method raises a big question on the credibility of fiscal policy in Pakistan. Higher will be the deviation higher will be the uncertainty and lower the fiscal policy credibility hence making fiscal policy less effective in the long run. Keyswords:	Budget Uncertainty, Economic Growth, Government Size, Policy Credibility Pages:	24-38 Article:	3 , Volume 2 , Issue 4 DOI Number:	10.47205/jdss.2021(2-IV)03 DOI Link:	http://doi.org/10.47205/jdss.2021(2-IV)03 Download Pdf:	 download pdf  view article Creative Commons License Despair in The Alchemist by Ben Jonson Authors:	 Dr. Fatima Syeda Dr. Faiza Zaheer Numrah Mehmood Abstract:	This research aims to challenge the assumption that The Alchemist by Ben Jonson is one of the greatest examples of the “explicit mirth and laughter” (Veneables 86). The paper argues that The Alchemist is a cynical and despairing play created in an atmosphere not suitable for a comedy. This is a qualitative study of the text and aims at an analysis of the theme, situations, characters, language, and the mood of the play to determine that Jonson is unable to retain the comic spirit in The Alchemist and in an attempt to “better men” (Prologue. 12) he becomes more satirical and less humorous or comic. This research is important for it contends that the play, termed as a comedy, may be read as a bitter satire on the cynical, stinky, and despairing world of the Elizabethan times. Keyswords:	Comedy, Despair, Reformation Pages:	39-47 Article:	4 , Volume 2 , Issue 4 DOI Number:	10.47205/jdss.2021(2-IV)04 DOI Link:	http://doi.org/10.47205/jdss.2021(2-IV)04 Download Pdf:	 download pdf  view article Creative Commons License Analysis of Principles of Coordinated Border Management (CBM) in articulation of War-Control Strategies: An Account of Implementation Range on Pakistan and Afghanistan Authors:	 Dr. Sehrish Qayyum Dr. Umbreen Javaid Abstract:	Currently, Border Management is crucial issue not only for Pakistan but for the entire world due to increased technological developments and security circumstances. Pakistan and Afghanistan being immediate states have inter-connected future with socio-economic and security prospects. Principles of Coordinated Border Management (CBM) approach have been extracted on the basis of in-depth interviews with security agencies and policymakers to understand the real time needs. The current research employs mixed method approach. Process Tracing is employed in this research to comprehend the causal mechanism behind the contemporary issue of border management system. A detailed statistical analysis of prospect outcomes has been given to validate the implication of CBM. Implication range of CBM has been discussed with positive and probably negative impacts due to its wide range of significance. This research gives an analysis of feasibility support to exercise CBM in best interest of the state and secure future of the region. Keyswords:	Afghanistan, Coordinated Border Management, Fencing, Pakistan, Security Pages:	48-62 Article:	5 , Volume 2 , Issue 4 DOI Number:	10.47205/jdss.2021(2-IV)05 DOI Link:	http://doi.org/10.47205/jdss.2021(2-IV)05 Download Pdf:	 download pdf  view article Creative Commons License The Belt and Road Initiative (BRI) vs. Quadrilateral Security Dialogue (the Quad): A Perspective of a Game Theory Authors:	 Muhammad Atif Prof. Dr. Muqarrab Akbar Abstract:	Containment is the central part of the U.S.'s foreign policy during the cold war. With the application of containment Policy, the U.S. achieved much success in international politics. Over time China has become more powerful and sees great power in international politics. China wants to expand and launched the Belt and Road Initiative (BRI). The primary purpose of The Belt and Road Initiative (BRI) is to achieve support from regional countries and save their interests from the U.S. In 2017, the American administration launched its Containment policy through Quadrilateral Security Dialogue (the Quad) to keep their interest from China. The Quadrilateral Security Dialogue (Quad) is comprising of Australia, the United States, Japan, and India. This Study is based on Qualitative research with theoretical application of Game theory. This research investigates both plans of China (BRI) and the U.S. (the Quad) through a Game Theory. In this study, China and the U.S. both like to act as gamers in international politics. This study recommends that Game theory can predict all developments in the long term. Keyswords:	Containment, Expansionism, Quadrilateral Security Dialogue, The Belt and Road Initiative (BRI) Pages:	63-75 Article:	6 , Volume 2 , Issue 4 DOI Number:	10.47205/jdss.2021(2-IV)06 DOI Link:	http://doi.org/10.47205/jdss.2021(2-IV)06 Download Pdf:	 download pdf  view article Creative Commons License Narendra Modi a Machiavellian Prince: An Appraisal Authors:	 Dr. Imran Khan Dr. Karim Haider Syed Muhammad Yousaf Abstract:	The comparison of Narendra Modi and Machiavellian Prince is very important as policies of Modi are creating problems within India and beyond the borders. The Prince is the book of Niccolo Machiavelli a great philosopher of his time. If Indian Prime Minister Narendra Modi qualifies as a Prince of Machiavelli is a very important question. This is answered in the light of his policies and strategies to become the undisputed political leader of India. Much of the Machiavellian Prince deals with the problem of how a layman can raise himself from abject and obscure origins to such a position that Narendra Modi has been holding in India since 2014. The basic theme of this article is revolving around the question that is following: Can Modi’s success be attributed to techniques of The Prince in important respects? This article analyzed Narendra Modi's policies and strategies to develop an analogy between Machiavellian Prince and Modi in terms of characteristics and political strategies. This research work examines, how Narendra Modi became the strongest person in India. Keyswords:	Comparison, India, Machiavelli, Modus Operandi, Narendra Modi Pages:	76-84 Article:	7 , Volume 2 , Issue 4 DOI Number:	10.47205/jdss.2021(2-IV)07 DOI Link:	http://doi.org/10.47205/jdss.2021(2-IV)07 Download Pdf:	 download pdf  view article Creative Commons License Analyzing Beckett's Waiting for Godot as a Political Comedy Authors:	 Muhammad Umer Azim Dr. Muhammad Saleem Nargis Saleem Abstract:	This study was devised to analyze Samuel Beckett’s play Waiting for Godot in the light of Jean-Francois Lyotard’s theory of postmodernism given in his book The Postmodern Condition (1984). This Lyotardian paradigm extends a subversive challenge to all the grand narratives that have been enjoying the status of an enviable complete code of life in the world for a long time. Even a cursory scan over the play under analysis creates a strong feel that Beckett very smartly, comprehensively and successfully questioned the relevance of the totalizing metanarratives to the present times. Being an imaginative writer, he was well aware of the fact that ridicule is a much more useful weapon than satire in the context of political literature. There are so many foundationalist ideologies that he ridicules in his dramatic writing. Christianity as a religion is well exposed; the gravity of philosophy is devalued; the traditional luxury that the humans get from the art of poetry is ruptured and the great ideals of struggle are punctured. He achieves his artistic and ideologically evolved authorial intentions with a ringing success. It is interesting to note that he maintains a healthy balance between art and message. Keyswords:	Beckett, Lyotard, The Postmodern Condition, Waiting for Godot Pages:	85-94 Article:	8 , Volume 2 , Issue 4 DOI Number:	10.47205/jdss.2021(2-IV)08 DOI Link:	http://doi.org/10.47205/jdss.2021(2-IV)08 Download Pdf:	 download pdf  view article Creative Commons License Effect of Parenting Styles on Students’ Academic Achievement at Elementary Level Authors:	 Hafsa Noreen Mushtaq Ahmad Uzma Shahzadi Abstract:	The study intended to find out the effect of parenting styles on students’ academic achievement. Current study was quantitative in nature. All elementary level enrolled students at government schools in the province of the Punjab made the population of the study. Multistage sampling was used to select the sample from four districts of one division (Sargodha) of the Punjab province i.e., Sargodha. A sample size i.e., n=960; students and their parents were participated in this study. Research scales i.e. Parenting Styles Dimension Questionnaire (PSDQ) was adapted to analyze and measure parents’ parenting styles and an achievement test was developed to measure the academic achievement of the elementary students. After pilot testing, reliability coefficient Cronbach Alpha values for PSDQ and achievement test were 0.67 and 0.71 Data was collected and analyzed using frequencies count, percentages, mean scores and one way ANOVA. Major findings of the study were; Majority of the parents had authoritative parental style, a handsome number of parents keep connection of warmth and support with their children, show intimacy, focus on discipline, do not grant autonomy to their children, do not indulge with their children and as well as a handsome number of students were confident during their studies and study, further, found that parental style had positive relationship with academic achievement. Recommendations were made on the basis of findings and conclusion such as arrangement of Parents Teachers Meetings (PTM‘s), parents’ training, provision of incentives and facilities to motivate families might be an inclusive component of elementary education program. Keyswords:	Academic Achievement, Elementary Education, Parenting Styles Pages:	95-110 Article:	9 , Volume 2 , Issue 4 DOI Number:	10.47205/jdss.2021(2-IV)09 DOI Link:	http://doi.org/10.47205/jdss.2021(2-IV)09 Download Pdf:	 download pdf  view article Creative Commons License Kashmir Conflict and the Question of Self-Determination Authors:	 Izzat Raazia Saqib Ur Rehman Abstract:	The objective of this paper is to explore relations between Pakistan and India since their inception in the perspective of Kashmir conundrum and its impact on the regional security. Kashmir is the unfinished agenda of partition and a stumbling block in the bilateral relations between Pakistan and India. After the partition of sub-continent in 1947, Pakistan and India got their sovereign status. Kashmir conflict, a disputed status state, is the byproduct of partition. Pakistan and India are traditional arch-foes. Any clash between Pakistan and India can bring the two nuclear states toe-to-toe and accelerate into nuclear warfare. Due to the revulsion, hostility and lack of trust between the two, the peaceful resolution of the Kashmir issue has been long overdue. Ever-increasing border spats, arms race and threat of terrorism between the two have augmented anxiety in the subcontinent along with the halt of talks between India and Pakistan at several times. Additionally, it hampers the economic and trade ties between the two. India, time and again, backtracked on Kashmir issue despite UN efforts to resolve the issue. Recently, Indian government has responded heavy-handedly to the Kashmiri agitators’ demand for sovereignty and revocation of ‘Special Status’ of Kashmir impacting the stability of the region in future. Keyswords:	India, Kashmir Conundrum, Pakistan, Regional Security, Sovereignty Pages:	111-119 Article:	10 , Volume 2 , Issue 4 DOI Number:	10.47205/jdss.2021(2-IV)10 DOI Link:	http://doi.org/10.47205/jdss.2021(2-IV)10 Download Pdf:	 download pdf  view article Creative Commons License Exploring Image of China in the Diplomatic Discourse: A Critical Discourse Analysis Authors:	 Muhammad Afzaal Muhammad Ilyas Chishti Abstract:	The present study hinges on the major objective of analyzing Pakistani and Indian diplomatic discourses employed in portrayal of image of China. Data comprises the official discourse which is used in diplomatic affairs of both the states. The extensive investigation seeks insights from the fundamentals of Critical Discourse Analysis propounded by van Dijk, Fairclough and Wodak with a special focus on Bhatia’s (2006) work. The study reveals that the image of China has always been accorded priority within Indian and Pakistani diplomatic discourse even though nature of bilateral relations among China, India and Pakistan is based on entirely different dynamics; Indian and Pakistani diplomatic discourses are reflective of sensitivities involved within the bilateral relations. Through employment of linguistic techniques of ‘positivity’, ‘evasion’ and ‘influence and power’, Indian diplomats have managed not to compromise over the fundamentals in bilateral relations with China despite Pakistan’s already strengthened and deep-rooted relations with China. While Pakistani diplomatic fronts have been equally successful in further deepening their already strengthened relations in the midst of surging controversies on CPEC, BRI and OBOR. Hence, diplomatic fronts of both the counties, through employment of ideologically loaded linguistic choices, leave no stone unturned in consolidation of the diplomatic relations with China. Keyswords:	CDA, China Image, Corpus, Language of Diplomacy, Political Discourse Analysis Pages:	120-133 Article:	11 , Volume 2 , Issue 4 DOI Number:	10.47205/jdss.2021(2-IV)11 DOI Link:	http://doi.org/10.47205/jdss.2021(2-IV)11 Download Pdf:	 download pdf  view article Creative Commons License Students’ Perception about Academic Advising Satisfaction at Higher Education Level Authors:	 Rukhsana Sardar Zarina Akhtar Shamsa Aziz Abstract:	The purpose of the study was to examine the students’ perception about academic advising satisfaction at higher education level. All the students from two years master (M.A) degree programme and four years (BS) degree programme of eight departments from International Islamic University Islamabad (IIUI), Faculty of Social Sciences were taken as a population of the study. 475 students were randomly selected as a sample of the study. The Academic Advising Inventory (AAI) was used to assess Academic Advising Style. For measuring level of the satisfaction, descriptive statistics was used. To compare the mean difference department-wise and gender-wise about academic advising satisfaction t.test was applied. It was concluded that from the major findings of the study those students who received departmental academic advising style are more satisfied as compared to those students who provided prescriptive academic advising style. Female students seemed more satisfied as compared to male students regarding the academic advising style provided to them. Students who satisfied from developmental academic advising style and they were also highly satisfied from the advising provided to them at Personalizing Education (PE) and this is the subscale of developmental academic advising whereas students who received prescriptive academic advising they were also satisfied from the advising provided to them regarding personalizing education and academic decision making but their percentage is less. It is recommended to Universities Administration to focus on Developmental Academic Advising Style and establish centers at universities/department level and nominate staff who may be responsible to provide developmental academic advising. Keyswords:	Academic Advising, Higher Level, Students’ Perception Pages:	134-144 Article:	12 , Volume 2 , Issue 4 DOI Number:	10.47205/jdss.2021(2-IV)12 DOI Link:	http://doi.org/10.47205/jdss.2021(2-IV)12 Download Pdf:	 download pdf  view article Creative Commons License Perceptions of Sexual Harassment in Higher Education Institutions: A Gender Analysis Authors:	 Ruhina Ghassan Dr. Subha Malik Nayab Javed Abstract:	Sexual harassment is a social issue which is present in every society, globally, which interferes in an individual’s social and professional life. It happens almost everywhere i.e. at workplaces, public places or institutes as well. The focus of the present study was to explore the differences of male and female students’ perception of sexual harassment. This study was a quantitative research. Sample of the study included of 400 students (200 males and 200 females) from two government and two private universities. In the present study, Sexual Harassment Perception Questionnaire (SHPQ) was used to find out these differences in perceptions as every person has his own view for different situations. The study revealed the significant differences in perception of students. Study showed that both genders perceived that female students get more harassed than male students. The factors that affect the perception frequently were gender and age. The findings recommended that regulations for sexual harassment should be implemented in universities; laws should be made for sexual harassment in higher education institutes. Students should be aware of sexual harassment through seminars, self-defense classes and awareness campaigns. And every institute should have a counseling center for the better mental health of students. Keyswords:	Gender Differences, Higher Educational Institutions, Sexual Harassment Pages:	145-158 Article:	13 , Volume 2 , Issue 4 DOI Number:	10.47205/jdss.2021(2-IV)13 DOI Link:	http://doi.org/10.47205/jdss.2021(2-IV)13 Download Pdf:	 download pdf  view article Creative Commons License Role of IMF Over the Governance Structure and Economic Development of Pakistan Authors:	 Ali Qamar Sheikh Dr. Muhammad Imran Pasha Muhammad Shakeel Ahmad Siddiqui Abstract:	Developing countries like Pakistan seeks for financial assistance in order to fulfil their deficits. IMF is one of the largest financial institution who give loans to countries who need it. This research has studied the IMF role and the effects of IMF conditions on the economy of Pakistan. To carry out this research, both quantitative data from primary sources has been gathered and qualitative analysis has been made to signify whither this borrowing creating and maintaining dependency of Pakistan on West and financial and governance structure constructed to curtail Countries like Pakistan. The results concluded that there is negative and insignificant relationship between GDP and IMF loans in the long run. The short-term dynamic shows that weak economic and Political Institutions in Pakistan. The Development dilemma constitutes dependency even today. The Current Budget Deficit Pakistan's fiscal deficit climbs to Rs 3.403 trillion in 2020-21 needs to be readdressed in such a manner that Pakistan can counter Balance of Payments and import/export imbalance. Keyswords:	Dependency, Development, IMF, Loans, Debt, Pakistan, Governance structure Pages:	159-172 Article:	14 , Volume 2 , Issue 4 DOI Number:	10.47205/jdss.2021(2-IV)14 DOI Link:	http://doi.org/10.47205/jdss.2021(2-IV)14 Download Pdf:	 download pdf  view article Creative Commons License Climate Change and the Indus Basin: Prospects of Cooperation between India and Pakistan Authors:	 Sarah Saeed Prof. Dr. Rana Eijaz Ahmad Abstract:	Climate change is transforming the global societies. The shift in average temperature is putting negative impacts on human health, food production and the natural resources. In the wake of the altered climate, water flow in the river systems is experiencing variability and uncertainty. This paper aims at studying the negative impacts of climate change on the water resources of the Indus Basin and investigate the prospects of cooperation between India and Pakistan; two major riparian nations sharing the basin. Adopting the case study approach, a theoretical framework has been built on the ‘Theory of the International Regimes’. It has been argued that institutional capacity and the dispute resolution mechanism provided in any water sharing agreement determine the extent of cooperation among the member states. Since India and Pakistan are bound by the provisions of the Indus Waters Treaty, this study tries to assess the effectiveness of this agreement in managing the negative consequences of the climate change. Keyswords:	Climate Change, Cooperation, Dispute Resolution Mechanism, Institutional Capacity Pages:	173-185 Article:	15 , Volume 2 , Issue 4 DOI Number:	10.47205/jdss.2021(2-IV)15 DOI Link:	http://doi.org/10.47205/jdss.2021(2-IV)15 Download Pdf:	 download pdf  view article Creative Commons License Translation, Cultural Adaptation and Validation of Behavioral-Emotional Reactivity Index for Adolescents Authors:	 Saima Saeed Farah Malik Suzanne Bartle Haring Abstract:	Measuring differentiation of self in terms of behavioral/emotional reactivity towards parents is important because of the complex parent-child connection. This needs a valid and reliable measure to assess the differentiation of self particularly in a relationship with parents. Behavior\Emotional Reactivity Index is such a tool that fulfills this purpose. The present study was carried out to culturaly adapt and translate BERI into the Urdu language and establish the psychometric properties of Urdu version. A sample of 303 adolescents of age (M = 16.07, SD = 1.77) was taken from different schools and colleges. Scale was split into Mother and father forms for the convenience of respondents. Findings supported the original factor structure of the BERI-original version. Higher-order factor analysis showed good fit indices with excellent alpha ranges (α= .91 to α=.80). BERI scores were compared for the adolescents who were securely attached with parents and insecurely attached with parents which showed a significant difference between the groups. BERI-Urdu version was found to be a valid and reliable measure in the Pakistani cultural context which gives researchers new directions to work with adolescents. Keyswords:	Adolescence, Differentiation of Self, Behavioral, Emotional Reactivit, Index, Parental Attachment Pages:	186-200 Article:	16 , Volume 2 , Issue 4 DOI Number:	10.47205/jdss.2021(2-IV)16 DOI Link:	http://doi.org/10.47205/jdss.2021(2-IV)16 Download Pdf:	 download pdf  view article Creative Commons License Notion of Repression in Modern Society: A Comparative Analysis of Sigmund Freud and Herbert Marcuse Authors:	 Khadija Naz Abstract:	One of the fundamental issues for modern civilized man is how to adapt a modern society without losing his individual status. Is it possible for an individual to adjust in a society where he/she loses his/her individuality and becomes part of collectivity? One point of view is that for society to flourish, man needs to be repressed. But to what extent is repression necessary for societies to rise and survive? This paper shall examine the above given questions from the standpoint of two thinkers who greatly influenced twentieth-century thought: Sigmund Freud and Herbert Marcuse. To undertake this task, first the term Repression shall be examined and then the notions of Freud and Marcuse will be discussed to determine the degree of repression required for the development of modern society. Keyswords:	Modern Society, Performance Principle, Repression, Surplus-Repression, The Pleasure Principle, The Reality Principle Pages:	201-214 Article:	17 , Volume 2 , Issue 4 DOI Number:	10.47205/jdss.2021(2-IV)17 DOI Link:	http://doi.org/10.47205/jdss.2021(2-IV)17 Download Pdf:	 download pdf  view article Creative Commons License Perceptions of Teacher Educators about Integration of (ESD) in Elementary Teachers Education Program Authors:	 Dr. Rukhsana Durrani Dr. Fazal ur Rahman Dr. Shaista Anjum Abstract:	Education and sustainable development have a close relationship as education provides sustainability to society. This study explored the perceptions of teacher educators for integration of Education for Sustainable Development (ESD) in B.Ed. 4 years’ elementary program. Four major components of ESD i.e., Education, Social &amp;amp; Culture, Economic and Environment were included in study. 127 teacher educators from departments of education were randomly selected from public universities of Pakistan who were offering B.Ed. 4 years’ elementary program. Data was collected through questionnaires from teacher educators. The findings recommended the inclusion of the components of Education for Sustainable Development (ESD) in curriculum of B.Ed. 4 years’ elementary program. Keyswords:	B.Ed. 4 Years Elementary Curriculum, Sustainable Development, Integration, Teacher Education Pages:	215-225 Article:	18 , Volume 2 , Issue 4 DOI Number:	10.47205/jdss.2021(2-IV)18 DOI Link:	http://doi.org/10.47205/jdss.2021(2-IV)18 Download Pdf:	 download pdf  view article Creative Commons License Exploring TPACK skills of prospective teachers and challenges faced in digital technology integration in Pakistan Authors:	 Tariq Saleem Ghayyur Dr. Nargis Abbas Mirza Abstract:	The current study was aimed to explore TPACK skills of prospective teachers and challenges faced in digital technology integration in Pakistan. The study was qualitative in nature and semi structured interview schedule was developed to collect data from prospective teachers. Purposive sampling technique was employed to collect data from 20 prospective teachers of 7 public sector universities. It was concluded that majority of the prospective teachers used general technological and pedagogical practices (GTPP), technological knowledge practices (TKP), Technological Pedagogical Knowledge practices (TPKP), Technological Content Knowledge practices (TCKP). Majority of prospective teachers reported multiple challenges in integration of digital technology in teacher education programs including lack of teacher training as one of the largest hurdle in digital technology integration, lack of digital technology resources or outdated digital technology resources, inadequate computer lab, lack of learning apps (courseware), financial constraints, lack of teachers’ motivation to use digital technology, slow computers available at computer labs, and unavailability of technical support. It was recommended that digital technology infrastructure should be improved across all teacher education institution and it was further recommended that TPACK model of digital technology integration should serve digital technology integration in teacher education programs in Pakistan. Keyswords:	Challenges, Digital Technology Integration, Digital Technology Resources, Digital Technology, TPACK Pages:	226-241 Article:	19 , Volume 2 , Issue 4 DOI Number:	10.47205/jdss.2021(2-IV)19 DOI Link:	http://doi.org/10.47205/jdss.2021(2-IV)19 Download Pdf:	 download pdf  view article Creative Commons License Revisiting the Linkage between Money Supply and Income: A Simultaneous Equation Model for Pakistan Authors:	 Zenab Faizullah Dr. Shahid Ali Muhammad Imad Khan Abstract:	A reliable estimate of the money supply is an important sign of the Gross Domestic Product (GDP) and many other macroeconomic indicators. It is widely discussed that over a long period of time, there is a strong link between GDP and money supply. This link is significantly important for formation of monetary policy. The main aim of this study is to estimate the income-money supply model for Pakistan. This study estimates the income-money supply model for Pakistan over the period of 2009 to 2019. The study uses Two Stage Least Square (2SLS) econometric technique due to the presence of endogeneity problem in the model under consideration. The existence of simultaneity between money supply (M2) and income (GDP) is also clear from the results of Hausman Specification test for simultaneity between M2 and GDP. The results further show that there exists a strong money-income relationship in case of Pakistan. Keyswords:	Money Supply, Income,</t>
        </is>
      </c>
      <c r="L99" t="inlineStr">
        <is>
          <t>Journal of Development and Social Sciences</t>
        </is>
      </c>
      <c r="M99" t="n">
        <v>2021</v>
      </c>
      <c r="N99" t="inlineStr">
        <is>
          <t>10.47205/jdss.2021(2-iv)74</t>
        </is>
      </c>
      <c r="O99" t="inlineStr">
        <is>
          <t>YES</t>
        </is>
      </c>
      <c r="P99" s="3" t="n"/>
    </row>
    <row r="100" ht="42" customHeight="1">
      <c r="A100" t="inlineStr">
        <is>
          <t>V099</t>
        </is>
      </c>
      <c r="B100" t="inlineStr">
        <is>
          <t>2016</t>
        </is>
      </c>
      <c r="C100" t="inlineStr">
        <is>
          <t>Arxiv_Bio_2016</t>
        </is>
      </c>
      <c r="D100" t="inlineStr">
        <is>
          <t>1606.00309v1.pdf</t>
        </is>
      </c>
      <c r="E100" s="2" t="inlineStr">
        <is>
          <t>Bhajun, R. et al. A statistically inferred microRNA network identifies breast cancer target miR-940 as an actin cytoskeleton regulator.  Scientific Reports 5, 8336 (2015).</t>
        </is>
      </c>
      <c r="F100">
        <f>HYPERLINK("https://scholar.google.com/scholar?q=Bhajun%2C+R.+et+al.+A+statistically+inferred+microRNA+network+identifies+breast+cancer+target+miR-940+as+an+actin+cytoskel","search")</f>
        <v/>
      </c>
      <c r="G100" s="3" t="n"/>
      <c r="H100" s="3" t="n"/>
      <c r="I100" s="3" t="n"/>
      <c r="J100" s="3" t="n"/>
      <c r="K100" t="inlineStr">
        <is>
          <t>A statistically inferred microRNA network identifies breast cancer target miR-940 as an actin cytoskeleton regulator</t>
        </is>
      </c>
      <c r="L100" t="inlineStr">
        <is>
          <t>Scientific Reports</t>
        </is>
      </c>
      <c r="M100" t="n">
        <v>2015</v>
      </c>
      <c r="N100" t="inlineStr">
        <is>
          <t>10.1038/srep08336</t>
        </is>
      </c>
      <c r="O100" t="inlineStr">
        <is>
          <t>NO</t>
        </is>
      </c>
      <c r="P100" s="3" t="n"/>
    </row>
    <row r="101" ht="42" customHeight="1">
      <c r="A101" t="inlineStr">
        <is>
          <t>V100</t>
        </is>
      </c>
      <c r="B101" t="inlineStr">
        <is>
          <t>2023</t>
        </is>
      </c>
      <c r="C101" t="inlineStr">
        <is>
          <t>NeurIPS_2023</t>
        </is>
      </c>
      <c r="D101" t="inlineStr">
        <is>
          <t>04bd683d5428d91c5fbb5a7d2c27064d-Paper-Conference.pdf</t>
        </is>
      </c>
      <c r="E101" s="2" t="inlineStr">
        <is>
          <t>M. Solodov. An explicit descent method for bilevel convex optimization. Journal of Convex Analysis, 14(2):227, 2007.</t>
        </is>
      </c>
      <c r="F101">
        <f>HYPERLINK("https://scholar.google.com/scholar?q=M.+Solodov.+An+explicit+descent+method+for+bilevel+convex+optimization.+Journal+of+Convex+Analysis%2C+14%282%29%3A227%2C+2007.","search")</f>
        <v/>
      </c>
      <c r="G101" s="3" t="n"/>
      <c r="H101" s="3" t="n"/>
      <c r="I101" s="3" t="n"/>
      <c r="J101" s="3" t="n"/>
      <c r="K101" t="inlineStr">
        <is>
          <t>A Bundle Method for a Class of Bilevel Nonsmooth Convex Minimization Problems</t>
        </is>
      </c>
      <c r="L101" t="inlineStr">
        <is>
          <t>SIAM Journal on Optimization</t>
        </is>
      </c>
      <c r="M101" t="n">
        <v>2007</v>
      </c>
      <c r="N101" t="inlineStr">
        <is>
          <t>10.1137/050647566</t>
        </is>
      </c>
      <c r="O101" t="inlineStr">
        <is>
          <t>NO</t>
        </is>
      </c>
      <c r="P101" s="3" t="n"/>
    </row>
    <row r="102" ht="42" customHeight="1">
      <c r="A102" t="inlineStr">
        <is>
          <t>V101</t>
        </is>
      </c>
      <c r="B102" t="inlineStr">
        <is>
          <t>2023</t>
        </is>
      </c>
      <c r="C102" t="inlineStr">
        <is>
          <t>Arxiv_Bio_2023</t>
        </is>
      </c>
      <c r="D102" t="inlineStr">
        <is>
          <t>2310.12996v1.pdf</t>
        </is>
      </c>
      <c r="E102" s="2" t="inlineStr">
        <is>
          <t>Liu Q, Hu Z, Jiang R, et al (2020) DeepCDR: a hybrid graph convolutional network for pre- dicting cancer drug response. Bioinformatics 36(26):i911–i918</t>
        </is>
      </c>
      <c r="F102">
        <f>HYPERLINK("https://scholar.google.com/scholar?q=Liu+Q%2C+Hu+Z%2C+Jiang+R%2C+et+al+%282020%29+DeepCDR%3A+a+hybrid+graph+convolutional+network+for+pre-+dicting+cancer+drug+response.+","search")</f>
        <v/>
      </c>
      <c r="G102" s="3" t="n"/>
      <c r="H102" s="3" t="n"/>
      <c r="I102" s="3" t="n"/>
      <c r="J102" s="3" t="n"/>
      <c r="K102" t="inlineStr">
        <is>
          <t>DeepCDR: a hybrid graph convolutional network for predicting cancer drug response</t>
        </is>
      </c>
      <c r="L102" t="inlineStr">
        <is>
          <t>Bioinformatics</t>
        </is>
      </c>
      <c r="M102" t="n">
        <v>2020</v>
      </c>
      <c r="N102" t="inlineStr">
        <is>
          <t>10.1093/bioinformatics/btaa822</t>
        </is>
      </c>
      <c r="O102" t="inlineStr">
        <is>
          <t>NO</t>
        </is>
      </c>
      <c r="P102" s="3" t="n"/>
    </row>
    <row r="103" ht="42" customHeight="1">
      <c r="A103" t="inlineStr">
        <is>
          <t>V102</t>
        </is>
      </c>
      <c r="B103" t="inlineStr">
        <is>
          <t>2016</t>
        </is>
      </c>
      <c r="C103" t="inlineStr">
        <is>
          <t>Arxiv_CS_2016</t>
        </is>
      </c>
      <c r="D103" t="inlineStr">
        <is>
          <t>1606.00787v2.pdf</t>
        </is>
      </c>
      <c r="E103" s="2" t="inlineStr">
        <is>
          <t>Target posterior inf. (VI)</t>
        </is>
      </c>
      <c r="F103">
        <f>HYPERLINK("https://scholar.google.com/scholar?q=Target+posterior+inf.+%28VI%29","search")</f>
        <v/>
      </c>
      <c r="G103" s="3" t="n"/>
      <c r="H103" s="3" t="n"/>
      <c r="I103" s="3" t="n"/>
      <c r="J103" s="3" t="n"/>
      <c r="K103" t="inlineStr">
        <is>
          <t>Acknowledgements</t>
        </is>
      </c>
      <c r="L103" t="inlineStr">
        <is>
          <t>Target Language, Collaborative Learning and Autonomy</t>
        </is>
      </c>
      <c r="M103" t="n">
        <v>1997</v>
      </c>
      <c r="N103" t="inlineStr">
        <is>
          <t>10.21832/9781800418219-001</t>
        </is>
      </c>
      <c r="O103" t="inlineStr">
        <is>
          <t>YES</t>
        </is>
      </c>
      <c r="P103" s="3" t="n"/>
    </row>
    <row r="104" ht="42" customHeight="1">
      <c r="A104" t="inlineStr">
        <is>
          <t>V103</t>
        </is>
      </c>
      <c r="B104" t="inlineStr">
        <is>
          <t>2023</t>
        </is>
      </c>
      <c r="C104" t="inlineStr">
        <is>
          <t>Arxiv_CS_2023</t>
        </is>
      </c>
      <c r="D104" t="inlineStr">
        <is>
          <t>2312.12473v2.pdf</t>
        </is>
      </c>
      <c r="E104" s="2" t="inlineStr">
        <is>
          <t>M. Ishizaki and T. Kato, “Exploring the characteristics of multi- party dialogues,” in 36th Annual Meeting of the Association for Computational Linguistics and 17th International Conference on Com- putational Linguistics, Volume 1, 1998, pp. 583–589.</t>
        </is>
      </c>
      <c r="F104">
        <f>HYPERLINK("https://scholar.google.com/scholar?q=M.+Ishizaki+and+T.+Kato%2C+%E2%80%9CExploring+the+characteristics+of+multi-+party+dialogues%2C%E2%80%9D+in+36th+Annual+Meeting+of+the+Associ","search")</f>
        <v/>
      </c>
      <c r="G104" s="3" t="n"/>
      <c r="H104" s="3" t="n"/>
      <c r="I104" s="3" t="n"/>
      <c r="J104" s="3" t="n"/>
      <c r="K104" t="inlineStr">
        <is>
          <t>Exploring the characteristics of multi-party dialogues</t>
        </is>
      </c>
      <c r="L104" t="inlineStr">
        <is>
          <t>Proceedings of the 36th annual meeting on Association for Computational Linguistics  -</t>
        </is>
      </c>
      <c r="M104" t="n">
        <v>1998</v>
      </c>
      <c r="N104" t="inlineStr">
        <is>
          <t>10.3115/980845.980942</t>
        </is>
      </c>
      <c r="O104" t="inlineStr">
        <is>
          <t>NO</t>
        </is>
      </c>
      <c r="P104" s="3" t="n"/>
    </row>
    <row r="105" ht="42" customHeight="1">
      <c r="A105" t="inlineStr">
        <is>
          <t>V104</t>
        </is>
      </c>
      <c r="B105" t="inlineStr">
        <is>
          <t>2016</t>
        </is>
      </c>
      <c r="C105" t="inlineStr">
        <is>
          <t>Arxiv_CS_2016</t>
        </is>
      </c>
      <c r="D105" t="inlineStr">
        <is>
          <t>1610.01549v2.pdf</t>
        </is>
      </c>
      <c r="E105" s="2" t="inlineStr">
        <is>
          <t>P. Simard, B. Victorri, Y. LeCun, and J. Denker. Tangent Prop — A formalism for specifying selected invariances in an adaptive network. In Advances in neural information processing systems, pages 895–903, 1992. 22</t>
        </is>
      </c>
      <c r="F105">
        <f>HYPERLINK("https://scholar.google.com/scholar?q=P.+Simard%2C+B.+Victorri%2C+Y.+LeCun%2C+and+J.+Denker.+Tangent+Prop+%E2%80%94+A+formalism+for+specifying+selected+invariances+in+an+ad","search")</f>
        <v/>
      </c>
      <c r="G105" s="3" t="n"/>
      <c r="H105" s="3" t="n"/>
      <c r="I105" s="3" t="n"/>
      <c r="J105" s="3" t="n"/>
      <c r="K105" t="inlineStr">
        <is>
          <t>Transformation Invariance in Pattern Recognition — Tangent Distance and Tangent Propagation</t>
        </is>
      </c>
      <c r="L105" t="inlineStr">
        <is>
          <t>Lecture Notes in Computer Science</t>
        </is>
      </c>
      <c r="M105" t="n">
        <v>1998</v>
      </c>
      <c r="N105" t="inlineStr">
        <is>
          <t>10.1007/3-540-49430-8_13</t>
        </is>
      </c>
      <c r="O105" t="inlineStr">
        <is>
          <t>YES</t>
        </is>
      </c>
      <c r="P105" s="3" t="n"/>
    </row>
    <row r="106" ht="42" customHeight="1">
      <c r="A106" t="inlineStr">
        <is>
          <t>V105</t>
        </is>
      </c>
      <c r="B106" t="inlineStr">
        <is>
          <t>2023</t>
        </is>
      </c>
      <c r="C106" t="inlineStr">
        <is>
          <t>Arxiv_Bio_2023</t>
        </is>
      </c>
      <c r="D106" t="inlineStr">
        <is>
          <t>2301.02661v1.pdf</t>
        </is>
      </c>
      <c r="E106" s="2" t="inlineStr">
        <is>
          <t>D. A. Humphries and P. M. Driver. Protean defence by prey animals. Oecologia, 5(4):285–302, 1970.</t>
        </is>
      </c>
      <c r="F106">
        <f>HYPERLINK("https://scholar.google.com/scholar?q=D.+A.+Humphries+and+P.+M.+Driver.+Protean+defence+by+prey+animals.+Oecologia%2C+5%284%29%3A285%E2%80%93302%2C+1970.","search")</f>
        <v/>
      </c>
      <c r="G106" s="3" t="n"/>
      <c r="H106" s="3" t="n"/>
      <c r="I106" s="3" t="n"/>
      <c r="J106" s="3" t="n"/>
      <c r="K106" t="inlineStr">
        <is>
          <t>Protean defence by prey animals</t>
        </is>
      </c>
      <c r="L106" t="inlineStr">
        <is>
          <t>Oecologia</t>
        </is>
      </c>
      <c r="M106" t="n">
        <v>1970</v>
      </c>
      <c r="N106" t="inlineStr">
        <is>
          <t>10.1007/bf00815496</t>
        </is>
      </c>
      <c r="O106" t="inlineStr">
        <is>
          <t>NO</t>
        </is>
      </c>
      <c r="P106" s="3" t="n"/>
    </row>
    <row r="107" ht="42" customHeight="1">
      <c r="A107" t="inlineStr">
        <is>
          <t>V106</t>
        </is>
      </c>
      <c r="B107" t="inlineStr">
        <is>
          <t>2023</t>
        </is>
      </c>
      <c r="C107" t="inlineStr">
        <is>
          <t>Arxiv_CS_2023</t>
        </is>
      </c>
      <c r="D107" t="inlineStr">
        <is>
          <t>2310.12008v1.pdf</t>
        </is>
      </c>
      <c r="E107" s="2" t="inlineStr">
        <is>
          <t>Translating embeddings for modeling multi- relational data. In Advances in Neural Informa- tion Processing Systems 26: 27th Annual Confer- ence on Neural Information Processing Systems, NeurIPS2013, Lake Tahoe, Nevada, United States, December 5-8, 2013, pages 2787–2795. Sanxing Chen, Xiaodong Liu, Jianfeng Gao, Jian Jiao, Ruofei Zhang, and Yangfeng Ji. 2021. Hitter: Hierar- chical transformers for knowledge graph embeddings. In Proceedings of the 2021 Conference on Empirical Methods in Natural L</t>
        </is>
      </c>
      <c r="F107">
        <f>HYPERLINK("https://scholar.google.com/scholar?q=Translating+embeddings+for+modeling+multi-+relational+data.+In+Advances+in+Neural+Informa-+tion+Processing+Systems+26%3A+2","search")</f>
        <v/>
      </c>
      <c r="G107" s="3" t="n"/>
      <c r="H107" s="3" t="n"/>
      <c r="I107" s="3" t="n"/>
      <c r="J107" s="3" t="n"/>
      <c r="K107" t="inlineStr">
        <is>
          <t>Hybrid Transformer with Multi-level Fusion for Multimodal Knowledge Graph Completion</t>
        </is>
      </c>
      <c r="L107" t="inlineStr">
        <is>
          <t>Proceedings of the 45th International ACM SIGIR Conference on Research and Development in Information Retrieval</t>
        </is>
      </c>
      <c r="M107" t="n">
        <v>2022</v>
      </c>
      <c r="N107" t="inlineStr">
        <is>
          <t>10.1145/3477495.3531992</t>
        </is>
      </c>
      <c r="O107" t="inlineStr">
        <is>
          <t>NO</t>
        </is>
      </c>
      <c r="P107" s="3" t="n"/>
    </row>
    <row r="108" ht="42" customHeight="1">
      <c r="A108" t="inlineStr">
        <is>
          <t>V107</t>
        </is>
      </c>
      <c r="B108" t="inlineStr">
        <is>
          <t>2023</t>
        </is>
      </c>
      <c r="C108" t="inlineStr">
        <is>
          <t>Arxiv_Bio_2023</t>
        </is>
      </c>
      <c r="D108" t="inlineStr">
        <is>
          <t>2305.09004v3.pdf</t>
        </is>
      </c>
      <c r="E108" s="2" t="inlineStr">
        <is>
          <t>Campbell A. The future of bacteriophage biology. Nature Reviews Genetics. 2003;4(6):471–477. doi:10.1038/nrg1089.</t>
        </is>
      </c>
      <c r="F108">
        <f>HYPERLINK("https://scholar.google.com/scholar?q=Campbell+A.+The+future+of+bacteriophage+biology.+Nature+Reviews+Genetics.+2003%3B4%286%29%3A471%E2%80%93477.+doi%3A10.1038%2Fnrg1089.","search")</f>
        <v/>
      </c>
      <c r="G108" s="3" t="n"/>
      <c r="H108" s="3" t="n"/>
      <c r="I108" s="3" t="n"/>
      <c r="J108" s="3" t="n"/>
      <c r="K108" t="inlineStr">
        <is>
          <t>The future of bacteriophage biology</t>
        </is>
      </c>
      <c r="L108" t="inlineStr">
        <is>
          <t>Nature Reviews Genetics</t>
        </is>
      </c>
      <c r="M108" t="n">
        <v>2003</v>
      </c>
      <c r="N108" t="inlineStr">
        <is>
          <t>10.1038/nrg1089</t>
        </is>
      </c>
      <c r="O108" t="inlineStr">
        <is>
          <t>NO</t>
        </is>
      </c>
      <c r="P108" s="3" t="n"/>
    </row>
    <row r="109" ht="42" customHeight="1">
      <c r="A109" t="inlineStr">
        <is>
          <t>V108</t>
        </is>
      </c>
      <c r="B109" t="inlineStr">
        <is>
          <t>2023</t>
        </is>
      </c>
      <c r="C109" t="inlineStr">
        <is>
          <t>Arxiv_CS_2023</t>
        </is>
      </c>
      <c r="D109" t="inlineStr">
        <is>
          <t>2310.11681v1.pdf</t>
        </is>
      </c>
      <c r="E109" s="2" t="inlineStr">
        <is>
          <t>COVID-19 literature knowledge graph con- struction and drug repurposing report generation. In Proceedings of the 2021 Conference of the North American Chapter of the Association for Computa- tional Linguistics: Human Language Technologies: Demonstrations, pages 66–77, Online. Association for Computational Linguistics. Xuan Wang, Yingjun Guan, Weili Liu, Aabhas Chauhan, Enyi Jiang, Qi Li, David Liem, Dibakar Sigdel, John Caufield, Peipei Ping, and Jiawei Han. 2020b. EVI- DENCEMINER: Textual evide</t>
        </is>
      </c>
      <c r="F109">
        <f>HYPERLINK("https://scholar.google.com/scholar?q=COVID-19+literature+knowledge+graph+con-+struction+and+drug+repurposing+report+generation.+In+Proceedings+of+the+2021+Co","search")</f>
        <v/>
      </c>
      <c r="G109" s="3" t="n"/>
      <c r="H109" s="3" t="n"/>
      <c r="I109" s="3" t="n"/>
      <c r="J109" s="3" t="n"/>
      <c r="K109" t="inlineStr">
        <is>
          <t>EVIDENCEMINER: Textual Evidence Discovery for Life Sciences</t>
        </is>
      </c>
      <c r="L109" t="inlineStr">
        <is>
          <t>Proceedings of the 58th Annual Meeting of the Association for Computational Linguistics: System Demonstrations</t>
        </is>
      </c>
      <c r="M109" t="n">
        <v>2020</v>
      </c>
      <c r="N109" t="inlineStr">
        <is>
          <t>10.18653/v1/2020.acl-demos.8</t>
        </is>
      </c>
      <c r="O109" t="inlineStr">
        <is>
          <t>NO</t>
        </is>
      </c>
      <c r="P109" s="3" t="n"/>
    </row>
    <row r="110" ht="42" customHeight="1">
      <c r="A110" t="inlineStr">
        <is>
          <t>V109</t>
        </is>
      </c>
      <c r="B110" t="inlineStr">
        <is>
          <t>2023</t>
        </is>
      </c>
      <c r="C110" t="inlineStr">
        <is>
          <t>Arxiv_Bio_2023</t>
        </is>
      </c>
      <c r="D110" t="inlineStr">
        <is>
          <t>2311.16946v1.pdf</t>
        </is>
      </c>
      <c r="E110" s="2" t="inlineStr">
        <is>
          <t>Grossfield A, Pitman MC, Feller SE, Soubias O, Gawrisch K. Internal hydration increases  during activation of the G-protein-coupled receptor rhodopsin. J Mol Biol.  2008;381(2):478-86.</t>
        </is>
      </c>
      <c r="F110">
        <f>HYPERLINK("https://scholar.google.com/scholar?q=Grossfield+A%2C+Pitman+MC%2C+Feller+SE%2C+Soubias+O%2C+Gawrisch+K.+Internal+hydration+increases++during+activation+of+the+G-prot","search")</f>
        <v/>
      </c>
      <c r="G110" s="3" t="n"/>
      <c r="H110" s="3" t="n"/>
      <c r="I110" s="3" t="n"/>
      <c r="J110" s="3" t="n"/>
      <c r="K110" t="inlineStr">
        <is>
          <t>Internal Hydration Increases during Activation of the G-Protein-Coupled Receptor Rhodopsin</t>
        </is>
      </c>
      <c r="L110" t="inlineStr">
        <is>
          <t>Journal of Molecular Biology</t>
        </is>
      </c>
      <c r="M110" t="n">
        <v>2008</v>
      </c>
      <c r="N110" t="inlineStr">
        <is>
          <t>10.1016/j.jmb.2008.05.036</t>
        </is>
      </c>
      <c r="O110" t="inlineStr">
        <is>
          <t>NO</t>
        </is>
      </c>
      <c r="P110" s="3" t="n"/>
    </row>
    <row r="111" ht="42" customHeight="1">
      <c r="A111" t="inlineStr">
        <is>
          <t>V110</t>
        </is>
      </c>
      <c r="B111" t="inlineStr">
        <is>
          <t>2016</t>
        </is>
      </c>
      <c r="C111" t="inlineStr">
        <is>
          <t>Arxiv_CS_2016</t>
        </is>
      </c>
      <c r="D111" t="inlineStr">
        <is>
          <t>1607.00061v1.pdf</t>
        </is>
      </c>
      <c r="E111" s="2" t="inlineStr">
        <is>
          <t>Ling, X., Weld, D.S.: Fine-grained entity recognition. In: Proceedings of the 26th AAAI Conference on Artiﬁcial Intelligence (2012)</t>
        </is>
      </c>
      <c r="F111">
        <f>HYPERLINK("https://scholar.google.com/scholar?q=Ling%2C+X.%2C+Weld%2C+D.S.%3A+Fine-grained+entity+recognition.+In%3A+Proceedings+of+the+26th+AAAI+Conference+on+Arti%EF%AC%81cial+Intellig","search")</f>
        <v/>
      </c>
      <c r="G111" s="3" t="n"/>
      <c r="H111" s="3" t="n"/>
      <c r="I111" s="3" t="n"/>
      <c r="J111" s="3" t="n"/>
      <c r="K111" t="inlineStr">
        <is>
          <t>Fine-Grained Entity Recognition</t>
        </is>
      </c>
      <c r="L111" t="inlineStr">
        <is>
          <t>Proceedings of the AAAI Conference on Artificial Intelligence</t>
        </is>
      </c>
      <c r="M111" t="n">
        <v>2021</v>
      </c>
      <c r="N111" t="inlineStr">
        <is>
          <t>10.1609/aaai.v26i1.8122</t>
        </is>
      </c>
      <c r="O111" t="inlineStr">
        <is>
          <t>NO</t>
        </is>
      </c>
      <c r="P111" s="3" t="n"/>
    </row>
    <row r="112" ht="42" customHeight="1">
      <c r="A112" t="inlineStr">
        <is>
          <t>V111</t>
        </is>
      </c>
      <c r="B112" t="inlineStr">
        <is>
          <t>2016</t>
        </is>
      </c>
      <c r="C112" t="inlineStr">
        <is>
          <t>Arxiv_Bio_2016</t>
        </is>
      </c>
      <c r="D112" t="inlineStr">
        <is>
          <t>1611.06618v1.pdf</t>
        </is>
      </c>
      <c r="E112" s="2" t="inlineStr">
        <is>
          <t>Y. Zheng, Q. Wang, and P. C. Doerschuk, “3-D reconstruction of the statistics of heterogeneous objects from a collection of one projection image of each object,” J. Opt. Soc. Am. A, vol. 29, no. 6, pp. 959–970, Jun. 2012.</t>
        </is>
      </c>
      <c r="F112">
        <f>HYPERLINK("https://scholar.google.com/scholar?q=Y.+Zheng%2C+Q.+Wang%2C+and+P.+C.+Doerschuk%2C+%E2%80%9C3-D+reconstruction+of+the+statistics+of+heterogeneous+objects+from+a+collection","search")</f>
        <v/>
      </c>
      <c r="G112" s="3" t="n"/>
      <c r="H112" s="3" t="n"/>
      <c r="I112" s="3" t="n"/>
      <c r="J112" s="3" t="n"/>
      <c r="K112" t="inlineStr">
        <is>
          <t>Three-dimensional reconstruction of the statistics of heterogeneous objects from a collection of one projection image of each object</t>
        </is>
      </c>
      <c r="L112" t="inlineStr">
        <is>
          <t>Journal of the Optical Society of America A</t>
        </is>
      </c>
      <c r="M112" t="n">
        <v>2012</v>
      </c>
      <c r="N112" t="inlineStr">
        <is>
          <t>10.1364/josaa.29.000959</t>
        </is>
      </c>
      <c r="O112" t="inlineStr">
        <is>
          <t>NO</t>
        </is>
      </c>
      <c r="P112" s="3" t="n"/>
    </row>
    <row r="113" ht="42" customHeight="1">
      <c r="A113" t="inlineStr">
        <is>
          <t>V112</t>
        </is>
      </c>
      <c r="B113" t="inlineStr">
        <is>
          <t>2016</t>
        </is>
      </c>
      <c r="C113" t="inlineStr">
        <is>
          <t>NeurIPS_2016</t>
        </is>
      </c>
      <c r="D113" t="inlineStr">
        <is>
          <t>299a23a2291e2126b91d54f3601ec162-Paper.pdf</t>
        </is>
      </c>
      <c r="E113" s="2" t="inlineStr">
        <is>
          <t>Jon D Mcauliffe and David M Blei. Supervised topic models. In Advances in neural information processing systems, pages 121–128, 2008.</t>
        </is>
      </c>
      <c r="F113">
        <f>HYPERLINK("https://scholar.google.com/scholar?q=Jon+D+Mcauliffe+and+David+M+Blei.+Supervised+topic+models.+In+Advances+in+neural+information+processing+systems%2C+pages+1","search")</f>
        <v/>
      </c>
      <c r="G113" s="3" t="n"/>
      <c r="H113" s="3" t="n"/>
      <c r="I113" s="3" t="n"/>
      <c r="J113" s="3" t="n"/>
      <c r="K113" t="inlineStr">
        <is>
          <t>Dynamic and Supervised Topic Models for Literature-Based Discovery</t>
        </is>
      </c>
      <c r="L113" t="n">
        <v/>
      </c>
      <c r="M113" t="n">
        <v>2011</v>
      </c>
      <c r="N113" t="inlineStr">
        <is>
          <t>10.21236/ada554210</t>
        </is>
      </c>
      <c r="O113" t="inlineStr">
        <is>
          <t>NO</t>
        </is>
      </c>
      <c r="P113" s="3" t="n"/>
    </row>
    <row r="114" ht="42" customHeight="1">
      <c r="A114" t="inlineStr">
        <is>
          <t>V113</t>
        </is>
      </c>
      <c r="B114" t="inlineStr">
        <is>
          <t>2016</t>
        </is>
      </c>
      <c r="C114" t="inlineStr">
        <is>
          <t>NeurIPS_2016</t>
        </is>
      </c>
      <c r="D114" t="inlineStr">
        <is>
          <t>320722549d1751cf3f247855f937b982-Paper.pdf</t>
        </is>
      </c>
      <c r="E114" s="2" t="inlineStr">
        <is>
          <t>D. J. Foster. personal communication, 2016.</t>
        </is>
      </c>
      <c r="F114">
        <f>HYPERLINK("https://scholar.google.com/scholar?q=D.+J.+Foster.+personal+communication%2C+2016.","search")</f>
        <v/>
      </c>
      <c r="G114" s="3" t="n"/>
      <c r="H114" s="3" t="n"/>
      <c r="I114" s="3" t="n"/>
      <c r="J114" s="3" t="n"/>
      <c r="K114" t="inlineStr">
        <is>
          <t>Communicated Meaning-Making in Foster Families: Relationships Between Foster Parents’ Entrance Narratives and Foster Child Well-Being</t>
        </is>
      </c>
      <c r="L114" t="inlineStr">
        <is>
          <t>Communication Quarterly</t>
        </is>
      </c>
      <c r="M114" t="n">
        <v>2016</v>
      </c>
      <c r="N114" t="inlineStr">
        <is>
          <t>10.1080/01463373.2016.1215337</t>
        </is>
      </c>
      <c r="O114" t="inlineStr">
        <is>
          <t>NO</t>
        </is>
      </c>
      <c r="P114" s="3" t="n"/>
    </row>
    <row r="115" ht="42" customHeight="1">
      <c r="A115" t="inlineStr">
        <is>
          <t>V114</t>
        </is>
      </c>
      <c r="B115" t="inlineStr">
        <is>
          <t>2023</t>
        </is>
      </c>
      <c r="C115" t="inlineStr">
        <is>
          <t>NeurIPS_2023</t>
        </is>
      </c>
      <c r="D115" t="inlineStr">
        <is>
          <t>045c87def0c02e3ad0d3d849766d7f1e-Paper-Conference.pdf</t>
        </is>
      </c>
      <c r="E115" s="2" t="inlineStr">
        <is>
          <t>Lara Kirfel, Thomas Icard, and Tobias Gerstenberg. Inference from explanation. Journal of Experimental Psychology: General, 151(7):1481, 2022.</t>
        </is>
      </c>
      <c r="F115">
        <f>HYPERLINK("https://scholar.google.com/scholar?q=Lara+Kirfel%2C+Thomas+Icard%2C+and+Tobias+Gerstenberg.+Inference+from+explanation.+Journal+of+Experimental+Psychology%3A+Gener","search")</f>
        <v/>
      </c>
      <c r="G115" s="3" t="n"/>
      <c r="H115" s="3" t="n"/>
      <c r="I115" s="3" t="n"/>
      <c r="J115" s="3" t="n"/>
      <c r="K115" t="inlineStr">
        <is>
          <t>Inference from explanation.</t>
        </is>
      </c>
      <c r="L115" t="inlineStr">
        <is>
          <t>Journal of Experimental Psychology: General</t>
        </is>
      </c>
      <c r="M115" t="n">
        <v>2022</v>
      </c>
      <c r="N115" t="inlineStr">
        <is>
          <t>10.1037/xge0001151</t>
        </is>
      </c>
      <c r="O115" t="inlineStr">
        <is>
          <t>NO</t>
        </is>
      </c>
      <c r="P115" s="3" t="n"/>
    </row>
    <row r="116" ht="42" customHeight="1">
      <c r="A116" t="inlineStr">
        <is>
          <t>V115</t>
        </is>
      </c>
      <c r="B116" t="inlineStr">
        <is>
          <t>2025</t>
        </is>
      </c>
      <c r="C116" t="inlineStr">
        <is>
          <t>Arxiv_CS_2025</t>
        </is>
      </c>
      <c r="D116" t="inlineStr">
        <is>
          <t>2501.19245v2.pdf</t>
        </is>
      </c>
      <c r="E116" s="2" t="inlineStr">
        <is>
          <t>Appendix A: Popular RL packages and their APIs Name Description Language Target API Amaze1 Maze navigation environments Python Research Gymnasium+ CleanRL2 Algorithm library Python/Torch Research/Production Gymnasium Gymnasium3 De-facto standard environments Python Research Gymnasium HIPPO-Gym4 Human Input Parsing Python Research Gymnasium+ Interactive-Gym Interactive web-based experiment platform Python Research Gymnasium+ JaxMARL5 Multi-agent environments JAX Research Gymnasium+ Momaland6 Mult</t>
        </is>
      </c>
      <c r="F116">
        <f>HYPERLINK("https://scholar.google.com/scholar?q=Appendix+A%3A+Popular+RL+packages+and+their+APIs+Name+Description+Language+Target+API+Amaze1+Maze+navigation+environments+","search")</f>
        <v/>
      </c>
      <c r="G116" s="3" t="n"/>
      <c r="H116" s="3" t="n"/>
      <c r="I116" s="3" t="n"/>
      <c r="J116" s="3" t="n"/>
      <c r="K116" t="inlineStr">
        <is>
          <t>Data-medielinien på Maribo Gymnasium - et bud på det tidssvarende gymnasium</t>
        </is>
      </c>
      <c r="L116" t="inlineStr">
        <is>
          <t>MedieKultur: Journal of media and communication research</t>
        </is>
      </c>
      <c r="M116" t="n">
        <v>1989</v>
      </c>
      <c r="N116" t="inlineStr">
        <is>
          <t>10.7146/mediekultur.v5i11.841</t>
        </is>
      </c>
      <c r="O116" t="inlineStr">
        <is>
          <t>YES</t>
        </is>
      </c>
      <c r="P116" s="3" t="n"/>
    </row>
    <row r="117" ht="42" customHeight="1">
      <c r="A117" t="inlineStr">
        <is>
          <t>V116</t>
        </is>
      </c>
      <c r="B117" t="inlineStr">
        <is>
          <t>2023</t>
        </is>
      </c>
      <c r="C117" t="inlineStr">
        <is>
          <t>Arxiv_CS_2023</t>
        </is>
      </c>
      <c r="D117" t="inlineStr">
        <is>
          <t>2312.12290v1.pdf</t>
        </is>
      </c>
      <c r="E117" s="2" t="inlineStr">
        <is>
          <t>Tsiakas, K., Barakova, E., Khan, J.V., Markopoulos, P.: BrainHood: towards an explainable recommendation system for self-regulated cognitive training in chil- dren. In: Proceedings of the 13th ACM International Conference on Pervasive Technologies Related to Assistive Environments. pp. 1–6 (2020)</t>
        </is>
      </c>
      <c r="F117">
        <f>HYPERLINK("https://scholar.google.com/scholar?q=Tsiakas%2C+K.%2C+Barakova%2C+E.%2C+Khan%2C+J.V.%2C+Markopoulos%2C+P.%3A+BrainHood%3A+towards+an+explainable+recommendation+system+for+self","search")</f>
        <v/>
      </c>
      <c r="G117" s="3" t="n"/>
      <c r="H117" s="3" t="n"/>
      <c r="I117" s="3" t="n"/>
      <c r="J117" s="3" t="n"/>
      <c r="K117" t="inlineStr">
        <is>
          <t>BrainHood</t>
        </is>
      </c>
      <c r="L117" t="inlineStr">
        <is>
          <t>Proceedings of the 13th ACM International Conference on PErvasive Technologies Related to Assistive Environments</t>
        </is>
      </c>
      <c r="M117" t="n">
        <v>2020</v>
      </c>
      <c r="N117" t="inlineStr">
        <is>
          <t>10.1145/3389189.3398004</t>
        </is>
      </c>
      <c r="O117" t="inlineStr">
        <is>
          <t>NO</t>
        </is>
      </c>
      <c r="P117" s="3" t="n"/>
    </row>
    <row r="118" ht="42" customHeight="1">
      <c r="A118" t="inlineStr">
        <is>
          <t>V117</t>
        </is>
      </c>
      <c r="B118" t="inlineStr">
        <is>
          <t>2023</t>
        </is>
      </c>
      <c r="C118" t="inlineStr">
        <is>
          <t>NeurIPS_2023</t>
        </is>
      </c>
      <c r="D118" t="inlineStr">
        <is>
          <t>02687e7b22abc64e651be8da74ec610e-Paper-Conference.pdf</t>
        </is>
      </c>
      <c r="E118" s="2" t="inlineStr">
        <is>
          <t>Zhang, F.Z., Campbell, D., Gould, S.: Spatially conditioned graphs for detecting human-object interactions. In: Proceedings of the IEEE/CVF International Conference on Computer Vision. pp. 13319–13327 (2021) 7</t>
        </is>
      </c>
      <c r="F118">
        <f>HYPERLINK("https://scholar.google.com/scholar?q=Zhang%2C+F.Z.%2C+Campbell%2C+D.%2C+Gould%2C+S.%3A+Spatially+conditioned+graphs+for+detecting+human-object+interactions.+In%3A+Proceedi","search")</f>
        <v/>
      </c>
      <c r="G118" s="3" t="n"/>
      <c r="H118" s="3" t="n"/>
      <c r="I118" s="3" t="n"/>
      <c r="J118" s="3" t="n"/>
      <c r="K118" t="inlineStr">
        <is>
          <t>Spatially Conditioned Graphs for Detecting Human–Object Interactions</t>
        </is>
      </c>
      <c r="L118" t="inlineStr">
        <is>
          <t>2021 IEEE/CVF International Conference on Computer Vision (ICCV)</t>
        </is>
      </c>
      <c r="M118" t="n">
        <v>2021</v>
      </c>
      <c r="N118" t="inlineStr">
        <is>
          <t>10.1109/iccv48922.2021.01307</t>
        </is>
      </c>
      <c r="O118" t="inlineStr">
        <is>
          <t>NO</t>
        </is>
      </c>
      <c r="P118" s="3" t="n"/>
    </row>
    <row r="119" ht="42" customHeight="1">
      <c r="A119" t="inlineStr">
        <is>
          <t>V118</t>
        </is>
      </c>
      <c r="B119" t="inlineStr">
        <is>
          <t>2016</t>
        </is>
      </c>
      <c r="C119" t="inlineStr">
        <is>
          <t>NeurIPS_2016</t>
        </is>
      </c>
      <c r="D119" t="inlineStr">
        <is>
          <t>2d405b367158e3f12d7c1e31a96b3af3-Paper.pdf</t>
        </is>
      </c>
      <c r="E119" s="2" t="inlineStr">
        <is>
          <t>M. Fiala. ARTag, a ﬁducial marker system using digital techniques. Conf. Computer Vision and Pattern Recognition (CVPR), v. 2, pp. 590–596, 2005.</t>
        </is>
      </c>
      <c r="F119">
        <f>HYPERLINK("https://scholar.google.com/scholar?q=M.+Fiala.+ARTag%2C+a+%EF%AC%81ducial+marker+system+using+digital+techniques.+Conf.+Computer+Vision+and+Pattern+Recognition+%28CVPR%29%2C","search")</f>
        <v/>
      </c>
      <c r="G119" s="3" t="n"/>
      <c r="H119" s="3" t="n"/>
      <c r="I119" s="3" t="n"/>
      <c r="J119" s="3" t="n"/>
      <c r="K119" t="inlineStr">
        <is>
          <t>ARTag, a Fiducial Marker System Using Digital Techniques</t>
        </is>
      </c>
      <c r="L119" t="inlineStr">
        <is>
          <t>2005 IEEE Computer Society Conference on Computer Vision and Pattern Recognition (CVPR'05)</t>
        </is>
      </c>
      <c r="M119" t="n">
        <v/>
      </c>
      <c r="N119" t="inlineStr">
        <is>
          <t>10.1109/cvpr.2005.74</t>
        </is>
      </c>
      <c r="O119" t="inlineStr">
        <is>
          <t>YES</t>
        </is>
      </c>
      <c r="P119" s="3" t="n"/>
    </row>
    <row r="120" ht="42" customHeight="1">
      <c r="A120" t="inlineStr">
        <is>
          <t>V119</t>
        </is>
      </c>
      <c r="B120" t="inlineStr">
        <is>
          <t>2016</t>
        </is>
      </c>
      <c r="C120" t="inlineStr">
        <is>
          <t>Arxiv_Bio_2016</t>
        </is>
      </c>
      <c r="D120" t="inlineStr">
        <is>
          <t>1607.01010v3.pdf</t>
        </is>
      </c>
      <c r="E120" s="2" t="inlineStr">
        <is>
          <t>Betzel, R. F., Gu, S., Medaglia, J. D., Pasqualetti, F. &amp; Bassett, D. S. Optimally controlling the human connec- tome: the role of network topology. Sci Rep 6, 30770 (2016).</t>
        </is>
      </c>
      <c r="F120">
        <f>HYPERLINK("https://scholar.google.com/scholar?q=Betzel%2C+R.+F.%2C+Gu%2C+S.%2C+Medaglia%2C+J.+D.%2C+Pasqualetti%2C+F.+%26+Bassett%2C+D.+S.+Optimally+controlling+the+human+connec-+tome%3A+t","search")</f>
        <v/>
      </c>
      <c r="G120" s="3" t="n"/>
      <c r="H120" s="3" t="n"/>
      <c r="I120" s="3" t="n"/>
      <c r="J120" s="3" t="n"/>
      <c r="K120" t="inlineStr">
        <is>
          <t>Optimally controlling the human connectome: the role of network topology</t>
        </is>
      </c>
      <c r="L120" t="inlineStr">
        <is>
          <t>Scientific Reports</t>
        </is>
      </c>
      <c r="M120" t="n">
        <v>2016</v>
      </c>
      <c r="N120" t="inlineStr">
        <is>
          <t>10.1038/srep30770</t>
        </is>
      </c>
      <c r="O120" t="inlineStr">
        <is>
          <t>NO</t>
        </is>
      </c>
      <c r="P120" s="3" t="n"/>
    </row>
    <row r="121" ht="42" customHeight="1">
      <c r="A121" t="inlineStr">
        <is>
          <t>V120</t>
        </is>
      </c>
      <c r="B121" t="inlineStr">
        <is>
          <t>2025</t>
        </is>
      </c>
      <c r="C121" t="inlineStr">
        <is>
          <t>Arxiv_CS_2025</t>
        </is>
      </c>
      <c r="D121" t="inlineStr">
        <is>
          <t>2502.19694v2.pdf</t>
        </is>
      </c>
      <c r="E121" s="2" t="inlineStr">
        <is>
          <t>Zhiwei Lin, Zhe Liu, Zhongyu Xia, Xinhao Wang, Yong- tao Wang, Shengxiang Qi, Yang Dong, Nan Dong, Le Zhang, and Ce Zhu. Rcbevdet: Radar-camera fusion in bird’s eye view for 3d object detection. In Proceedings of the IEEE/CVF Conference on Computer Vision and Pattern Recognition, pages 14928–14937, 2024. 1</t>
        </is>
      </c>
      <c r="F121">
        <f>HYPERLINK("https://scholar.google.com/scholar?q=Zhiwei+Lin%2C+Zhe+Liu%2C+Zhongyu+Xia%2C+Xinhao+Wang%2C+Yong-+tao+Wang%2C+Shengxiang+Qi%2C+Yang+Dong%2C+Nan+Dong%2C+Le+Zhang%2C+and+Ce+Zhu.","search")</f>
        <v/>
      </c>
      <c r="G121" s="3" t="n"/>
      <c r="H121" s="3" t="n"/>
      <c r="I121" s="3" t="n"/>
      <c r="J121" s="3" t="n"/>
      <c r="K121" t="inlineStr">
        <is>
          <t>RCBEVDet: Radar-Camera Fusion in Bird's Eye View for 3D Object Detection</t>
        </is>
      </c>
      <c r="L121" t="inlineStr">
        <is>
          <t>2024 IEEE/CVF Conference on Computer Vision and Pattern Recognition (CVPR)</t>
        </is>
      </c>
      <c r="M121" t="n">
        <v>2024</v>
      </c>
      <c r="N121" t="inlineStr">
        <is>
          <t>10.1109/cvpr52733.2024.01414</t>
        </is>
      </c>
      <c r="O121" t="inlineStr">
        <is>
          <t>NO</t>
        </is>
      </c>
      <c r="P121" s="3" t="n"/>
    </row>
    <row r="122" ht="42" customHeight="1">
      <c r="A122" t="inlineStr">
        <is>
          <t>V121</t>
        </is>
      </c>
      <c r="B122" t="inlineStr">
        <is>
          <t>2025</t>
        </is>
      </c>
      <c r="C122" t="inlineStr">
        <is>
          <t>Arxiv_CS_2025</t>
        </is>
      </c>
      <c r="D122" t="inlineStr">
        <is>
          <t>2501.11270v1.pdf</t>
        </is>
      </c>
      <c r="E122" s="2" t="inlineStr">
        <is>
          <t>H. Hersbach, B. Bell, P. Berrisford, G. Biavati, A. Hor´anyi, J. Mu˜noz Sabater, J. Nicolas, C. Peubey, R. Radu, I. Rozum et al., “ERA5 hourly data on single levels from 1979 to present,” Copernicus climate change service (c3s) climate data store (cds), vol. 10, no. 10.24381, 2018.</t>
        </is>
      </c>
      <c r="F122">
        <f>HYPERLINK("https://scholar.google.com/scholar?q=H.+Hersbach%2C+B.+Bell%2C+P.+Berrisford%2C+G.+Biavati%2C+A.+Hor%C2%B4anyi%2C+J.+Mu%CB%9Cnoz+Sabater%2C+J.+Nicolas%2C+C.+Peubey%2C+R.+Radu%2C+I.+Rozu","search")</f>
        <v/>
      </c>
      <c r="G122" s="3" t="n"/>
      <c r="H122" s="3" t="n"/>
      <c r="I122" s="3" t="n"/>
      <c r="J122" s="3" t="n"/>
      <c r="K122" t="inlineStr">
        <is>
          <t>Satellite observations in support of the Copernicus Climate Change Service</t>
        </is>
      </c>
      <c r="L122" t="inlineStr">
        <is>
          <t>Space, Satellites and Sustainability</t>
        </is>
      </c>
      <c r="M122" t="n">
        <v>2020</v>
      </c>
      <c r="N122" t="inlineStr">
        <is>
          <t>10.1117/12.2576497</t>
        </is>
      </c>
      <c r="O122" t="inlineStr">
        <is>
          <t>YES</t>
        </is>
      </c>
      <c r="P122" s="3" t="n"/>
    </row>
    <row r="123" ht="42" customHeight="1">
      <c r="A123" t="inlineStr">
        <is>
          <t>V122</t>
        </is>
      </c>
      <c r="B123" t="inlineStr">
        <is>
          <t>2023</t>
        </is>
      </c>
      <c r="C123" t="inlineStr">
        <is>
          <t>Arxiv_CS_2023</t>
        </is>
      </c>
      <c r="D123" t="inlineStr">
        <is>
          <t>2310.10808v1.pdf</t>
        </is>
      </c>
      <c r="E123" s="2" t="inlineStr">
        <is>
          <t>H. Touvron, L. Martin, K. Stone, P. Albert, A. Almahairi, Y. Babaei, N. Bashlykov, S. Batra, P. Bhargava, S. Bhosale, D. Bikel, L. Blecher, C. C. Ferrer, M. Chen, G. Cucurull, D. Esiobu, J. Fernandes, J. Fu, W. Fu, B. Fuller, C. Gao, V. Goswami, N. Goyal, A. Hartshorn, S. Hosseini, R. Hou, H. Inan, M. Kardas, V. Kerkez, M. Khabsa, I. Kloumann, A. Korenev, P. S. Koura, M.-A. Lachaux, T. Lavril, J. Lee, D. Liskovich, Y. Lu, Y. Mao, X. Martinet, T. Mihaylov, P. Mishra, I. Molybog, Y. Nie, A. Poulto</t>
        </is>
      </c>
      <c r="F123">
        <f>HYPERLINK("https://scholar.google.com/scholar?q=H.+Touvron%2C+L.+Martin%2C+K.+Stone%2C+P.+Albert%2C+A.+Almahairi%2C+Y.+Babaei%2C+N.+Bashlykov%2C+S.+Batra%2C+P.+Bhargava%2C+S.+Bhosale%2C+D.","search")</f>
        <v/>
      </c>
      <c r="G123" s="3" t="n"/>
      <c r="H123" s="3" t="n"/>
      <c r="I123" s="3" t="n"/>
      <c r="J123" s="3" t="n"/>
      <c r="K123" t="inlineStr">
        <is>
          <t>Correction: CEPC Technical Design Report: Accelerator</t>
        </is>
      </c>
      <c r="L123" t="inlineStr">
        <is>
          <t>Radiation Detection Technology and Methods</t>
        </is>
      </c>
      <c r="M123" t="n">
        <v>2024</v>
      </c>
      <c r="N123" t="inlineStr">
        <is>
          <t>10.1007/s41605-024-00501-9</t>
        </is>
      </c>
      <c r="O123" t="inlineStr">
        <is>
          <t>NO</t>
        </is>
      </c>
      <c r="P123" s="3" t="n"/>
    </row>
    <row r="124" ht="42" customHeight="1">
      <c r="A124" t="inlineStr">
        <is>
          <t>V123</t>
        </is>
      </c>
      <c r="B124" t="inlineStr">
        <is>
          <t>2016</t>
        </is>
      </c>
      <c r="C124" t="inlineStr">
        <is>
          <t>Arxiv_CS_2016</t>
        </is>
      </c>
      <c r="D124" t="inlineStr">
        <is>
          <t>1608.07253v1.pdf</t>
        </is>
      </c>
      <c r="E124" s="2" t="inlineStr">
        <is>
          <t>T. Mikolov, K. Chen, G. Corrado, and J. Dean. Distributed representations of words and phrases and their compositionality. In NIPS, pages 3111–3119, 2013.</t>
        </is>
      </c>
      <c r="F124">
        <f>HYPERLINK("https://scholar.google.com/scholar?q=T.+Mikolov%2C+K.+Chen%2C+G.+Corrado%2C+and+J.+Dean.+Distributed+representations+of+words+and+phrases+and+their+compositionalit","search")</f>
        <v/>
      </c>
      <c r="G124" s="3" t="n"/>
      <c r="H124" s="3" t="n"/>
      <c r="I124" s="3" t="n"/>
      <c r="J124" s="3" t="n"/>
      <c r="K124" t="inlineStr">
        <is>
          <t>Unsupervised Text Normalization Using Distributed Representations of Words and Phrases</t>
        </is>
      </c>
      <c r="L124" t="inlineStr">
        <is>
          <t>Proceedings of the 1st Workshop on Vector Space Modeling for Natural Language Processing</t>
        </is>
      </c>
      <c r="M124" t="n">
        <v>2015</v>
      </c>
      <c r="N124" t="inlineStr">
        <is>
          <t>10.3115/v1/w15-1502</t>
        </is>
      </c>
      <c r="O124" t="inlineStr">
        <is>
          <t>YES</t>
        </is>
      </c>
      <c r="P124" s="3" t="n"/>
    </row>
    <row r="125" ht="42" customHeight="1">
      <c r="A125" t="inlineStr">
        <is>
          <t>V124</t>
        </is>
      </c>
      <c r="B125" t="inlineStr">
        <is>
          <t>2025</t>
        </is>
      </c>
      <c r="C125" t="inlineStr">
        <is>
          <t>Arxiv_CS_2025</t>
        </is>
      </c>
      <c r="D125" t="inlineStr">
        <is>
          <t>2502.02489v1.pdf</t>
        </is>
      </c>
      <c r="E125" s="2" t="inlineStr">
        <is>
          <t>J. Wang et al., “Thyroid ultrasound diagnosis improvement via multi- view self-supervised learning and two-stage pre-training,” Comput. Biol. Med., vol. 171, p. 108087, 2024.</t>
        </is>
      </c>
      <c r="F125">
        <f>HYPERLINK("https://scholar.google.com/scholar?q=J.+Wang+et+al.%2C+%E2%80%9CThyroid+ultrasound+diagnosis+improvement+via+multi-+view+self-supervised+learning+and+two-stage+pre-tra","search")</f>
        <v/>
      </c>
      <c r="G125" s="3" t="n"/>
      <c r="H125" s="3" t="n"/>
      <c r="I125" s="3" t="n"/>
      <c r="J125" s="3" t="n"/>
      <c r="K125" t="inlineStr">
        <is>
          <t>Thyroid ultrasound diagnosis improvement via multi-view self-supervised learning and two-stage pre-training</t>
        </is>
      </c>
      <c r="L125" t="inlineStr">
        <is>
          <t>Computers in Biology and Medicine</t>
        </is>
      </c>
      <c r="M125" t="n">
        <v>2024</v>
      </c>
      <c r="N125" t="inlineStr">
        <is>
          <t>10.1016/j.compbiomed.2024.108087</t>
        </is>
      </c>
      <c r="O125" t="inlineStr">
        <is>
          <t>NO</t>
        </is>
      </c>
      <c r="P125" s="3" t="n"/>
    </row>
    <row r="126" ht="42" customHeight="1">
      <c r="A126" t="inlineStr">
        <is>
          <t>V125</t>
        </is>
      </c>
      <c r="B126" t="inlineStr">
        <is>
          <t>2016</t>
        </is>
      </c>
      <c r="C126" t="inlineStr">
        <is>
          <t>NeurIPS_2016</t>
        </is>
      </c>
      <c r="D126" t="inlineStr">
        <is>
          <t>3147da8ab4a0437c15ef51a5cc7f2dc4-Paper.pdf</t>
        </is>
      </c>
      <c r="E126" s="2" t="inlineStr">
        <is>
          <t>R Mottaghi, M Rastegari, A Gupta, and A Farhadi. " what happens if..." learning to predict the effect of 346 forces in images. arXiv:1603.05600, 2016. 347</t>
        </is>
      </c>
      <c r="F126">
        <f>HYPERLINK("https://scholar.google.com/scholar?q=R+Mottaghi%2C+M+Rastegari%2C+A+Gupta%2C+and+A+Farhadi.+%22+what+happens+if...%22+learning+to+predict+the+effect+of+346+forces+in+i","search")</f>
        <v/>
      </c>
      <c r="G126" s="3" t="n"/>
      <c r="H126" s="3" t="n"/>
      <c r="I126" s="3" t="n"/>
      <c r="J126" s="3" t="n"/>
      <c r="K126" t="inlineStr">
        <is>
          <t>“What Happens If...” Learning to Predict the Effect of Forces in Images</t>
        </is>
      </c>
      <c r="L126" t="inlineStr">
        <is>
          <t>Lecture Notes in Computer Science</t>
        </is>
      </c>
      <c r="M126" t="n">
        <v>2016</v>
      </c>
      <c r="N126" t="inlineStr">
        <is>
          <t>10.1007/978-3-319-46493-0_17</t>
        </is>
      </c>
      <c r="O126" t="inlineStr">
        <is>
          <t>NO</t>
        </is>
      </c>
      <c r="P126" s="3" t="n"/>
    </row>
    <row r="127" ht="42" customHeight="1">
      <c r="A127" t="inlineStr">
        <is>
          <t>V126</t>
        </is>
      </c>
      <c r="B127" t="inlineStr">
        <is>
          <t>2023</t>
        </is>
      </c>
      <c r="C127" t="inlineStr">
        <is>
          <t>NeurIPS_2023</t>
        </is>
      </c>
      <c r="D127" t="inlineStr">
        <is>
          <t>03b1043052700b1a471996b0baf309d4-Paper-Conference.pdf</t>
        </is>
      </c>
      <c r="E127" s="2" t="inlineStr">
        <is>
          <t>Maria-Florina Balcan, Alina Beygelzimer, and John Langford. Agnostic active learning. In Proceedings of the 23rd International Conference on Machine Learning, page 65–72, 2006.</t>
        </is>
      </c>
      <c r="F127">
        <f>HYPERLINK("https://scholar.google.com/scholar?q=Maria-Florina+Balcan%2C+Alina+Beygelzimer%2C+and+John+Langford.+Agnostic+active+learning.+In+Proceedings+of+the+23rd+Interna","search")</f>
        <v/>
      </c>
      <c r="G127" s="3" t="n"/>
      <c r="H127" s="3" t="n"/>
      <c r="I127" s="3" t="n"/>
      <c r="J127" s="3" t="n"/>
      <c r="K127" t="inlineStr">
        <is>
          <t>Agnostic active learning</t>
        </is>
      </c>
      <c r="L127" t="inlineStr">
        <is>
          <t>Proceedings of the 23rd international conference on Machine learning  - ICML '06</t>
        </is>
      </c>
      <c r="M127" t="n">
        <v>2006</v>
      </c>
      <c r="N127" t="inlineStr">
        <is>
          <t>10.1145/1143844.1143853</t>
        </is>
      </c>
      <c r="O127" t="inlineStr">
        <is>
          <t>YES</t>
        </is>
      </c>
      <c r="P127" s="3" t="n"/>
    </row>
    <row r="128" ht="42" customHeight="1">
      <c r="A128" t="inlineStr">
        <is>
          <t>V127</t>
        </is>
      </c>
      <c r="B128" t="inlineStr">
        <is>
          <t>2023</t>
        </is>
      </c>
      <c r="C128" t="inlineStr">
        <is>
          <t>Arxiv_CS_2023</t>
        </is>
      </c>
      <c r="D128" t="inlineStr">
        <is>
          <t>2310.11481v1.pdf</t>
        </is>
      </c>
      <c r="E128" s="2" t="inlineStr">
        <is>
          <t>B. Bimal, G. Ole-Christoffer, and J. Lei, “Measuring the Novelty of Natural Language Text Using the Conjunctive Clauses of a Tsetlin Machine Text Classifier,” in Proceedings of ICAART, 2021.</t>
        </is>
      </c>
      <c r="F128">
        <f>HYPERLINK("https://scholar.google.com/scholar?q=B.+Bimal%2C+G.+Ole-Christoffer%2C+and+J.+Lei%2C+%E2%80%9CMeasuring+the+Novelty+of+Natural+Language+Text+Using+the+Conjunctive+Clauses+","search")</f>
        <v/>
      </c>
      <c r="G128" s="3" t="n"/>
      <c r="H128" s="3" t="n"/>
      <c r="I128" s="3" t="n"/>
      <c r="J128" s="3" t="n"/>
      <c r="K128" t="inlineStr">
        <is>
          <t>Measuring the Novelty of Natural Language Text using the Conjunctive Clauses of a Tsetlin Machine Text Classifier</t>
        </is>
      </c>
      <c r="L128" t="inlineStr">
        <is>
          <t>Proceedings of the 13th International Conference on Agents and Artificial Intelligence</t>
        </is>
      </c>
      <c r="M128" t="n">
        <v>2021</v>
      </c>
      <c r="N128" t="inlineStr">
        <is>
          <t>10.5220/0010382204100417</t>
        </is>
      </c>
      <c r="O128" t="inlineStr">
        <is>
          <t>YES</t>
        </is>
      </c>
      <c r="P128" s="3" t="n"/>
    </row>
    <row r="129" ht="42" customHeight="1">
      <c r="A129" t="inlineStr">
        <is>
          <t>V128</t>
        </is>
      </c>
      <c r="B129" t="inlineStr">
        <is>
          <t>2023</t>
        </is>
      </c>
      <c r="C129" t="inlineStr">
        <is>
          <t>Arxiv_CS_2023</t>
        </is>
      </c>
      <c r="D129" t="inlineStr">
        <is>
          <t>2312.03245v1.pdf</t>
        </is>
      </c>
      <c r="E129" s="2" t="inlineStr">
        <is>
          <t>Sitawarin, C., &amp; Wagner, D. (2019, May). On the robustness of deep k-nearest neighbors. In 2019 IEEE Security and Privacy Workshops (SPW) (pp. 1-7). IEEE.</t>
        </is>
      </c>
      <c r="F129">
        <f>HYPERLINK("https://scholar.google.com/scholar?q=Sitawarin%2C+C.%2C+%26+Wagner%2C+D.+%282019%2C+May%29.+On+the+robustness+of+deep+k-nearest+neighbors.+In+2019+IEEE+Security+and+Privac","search")</f>
        <v/>
      </c>
      <c r="G129" s="3" t="n"/>
      <c r="H129" s="3" t="n"/>
      <c r="I129" s="3" t="n"/>
      <c r="J129" s="3" t="n"/>
      <c r="K129" t="inlineStr">
        <is>
          <t>On the Robustness of Deep K-Nearest Neighbors</t>
        </is>
      </c>
      <c r="L129" t="inlineStr">
        <is>
          <t>2019 IEEE Security and Privacy Workshops (SPW)</t>
        </is>
      </c>
      <c r="M129" t="n">
        <v>2019</v>
      </c>
      <c r="N129" t="inlineStr">
        <is>
          <t>10.1109/spw.2019.00014</t>
        </is>
      </c>
      <c r="O129" t="inlineStr">
        <is>
          <t>NO</t>
        </is>
      </c>
      <c r="P129" s="3" t="n"/>
    </row>
    <row r="130" ht="42" customHeight="1">
      <c r="A130" t="inlineStr">
        <is>
          <t>V129</t>
        </is>
      </c>
      <c r="B130" t="inlineStr">
        <is>
          <t>2025</t>
        </is>
      </c>
      <c r="C130" t="inlineStr">
        <is>
          <t>NeurIPS_2025</t>
        </is>
      </c>
      <c r="D130" t="inlineStr">
        <is>
          <t>066e4dbfeccb5dc2851acd5eca584937-Paper-Conference.pdf</t>
        </is>
      </c>
      <c r="E130" s="2" t="inlineStr">
        <is>
          <t>OpenAI. Gpt-4 technical report, 2023.</t>
        </is>
      </c>
      <c r="F130">
        <f>HYPERLINK("https://scholar.google.com/scholar?q=OpenAI.+Gpt-4+technical+report%2C+2023.","search")</f>
        <v/>
      </c>
      <c r="G130" s="3" t="n"/>
      <c r="H130" s="3" t="n"/>
      <c r="I130" s="3" t="n"/>
      <c r="J130" s="3" t="n"/>
      <c r="K130" t="inlineStr">
        <is>
          <t>Spor ve Teknoloji: Etkileşim ve Dönüşümün Yolculuğu</t>
        </is>
      </c>
      <c r="L130" t="inlineStr">
        <is>
          <t>Dijital Çağda Spor Araştırmaları I</t>
        </is>
      </c>
      <c r="M130" t="n">
        <v>2023</v>
      </c>
      <c r="N130" t="inlineStr">
        <is>
          <t>10.58830/ozgur.pub222.c951</t>
        </is>
      </c>
      <c r="O130" t="inlineStr">
        <is>
          <t>YES</t>
        </is>
      </c>
      <c r="P130" s="3" t="n"/>
    </row>
    <row r="131" ht="42" customHeight="1">
      <c r="A131" t="inlineStr">
        <is>
          <t>V130</t>
        </is>
      </c>
      <c r="B131" t="inlineStr">
        <is>
          <t>2016</t>
        </is>
      </c>
      <c r="C131" t="inlineStr">
        <is>
          <t>Arxiv_Bio_2016</t>
        </is>
      </c>
      <c r="D131" t="inlineStr">
        <is>
          <t>1605.03745v1.pdf</t>
        </is>
      </c>
      <c r="E131" s="2" t="inlineStr">
        <is>
          <t>Christoph Feinauer, Hendrik Szurmant, Martin Weigt, and Andrea Pagnani. Inter-protein sequence co-evolution predicts known physical interactions in bacterial ribosomes and the trp operon. PLoS ONE, 11(2):1–18, 02 2016. 33</t>
        </is>
      </c>
      <c r="F131">
        <f>HYPERLINK("https://scholar.google.com/scholar?q=Christoph+Feinauer%2C+Hendrik+Szurmant%2C+Martin+Weigt%2C+and+Andrea+Pagnani.+Inter-protein+sequence+co-evolution+predicts+kno","search")</f>
        <v/>
      </c>
      <c r="G131" s="3" t="n"/>
      <c r="H131" s="3" t="n"/>
      <c r="I131" s="3" t="n"/>
      <c r="J131" s="3" t="n"/>
      <c r="K131" t="inlineStr">
        <is>
          <t>Inter-Protein Sequence Co-Evolution Predicts Known Physical Interactions in Bacterial Ribosomes and the Trp Operon</t>
        </is>
      </c>
      <c r="L131" t="inlineStr">
        <is>
          <t>PLOS ONE</t>
        </is>
      </c>
      <c r="M131" t="n">
        <v>2016</v>
      </c>
      <c r="N131" t="inlineStr">
        <is>
          <t>10.1371/journal.pone.0149166</t>
        </is>
      </c>
      <c r="O131" t="inlineStr">
        <is>
          <t>NO</t>
        </is>
      </c>
      <c r="P131" s="3" t="n"/>
    </row>
    <row r="132" ht="42" customHeight="1">
      <c r="A132" t="inlineStr">
        <is>
          <t>V131</t>
        </is>
      </c>
      <c r="B132" t="inlineStr">
        <is>
          <t>2016</t>
        </is>
      </c>
      <c r="C132" t="inlineStr">
        <is>
          <t>NeurIPS_2016</t>
        </is>
      </c>
      <c r="D132" t="inlineStr">
        <is>
          <t>25ddc0f8c9d3e22e03d3076f98d83cb2-Paper.pdf</t>
        </is>
      </c>
      <c r="E132" s="2" t="inlineStr">
        <is>
          <t>N. Pham and R. Pagh. Fast and scalable polynomial kernels via explicit feature maps. In KDD, pages 239–247, 2013.</t>
        </is>
      </c>
      <c r="F132">
        <f>HYPERLINK("https://scholar.google.com/scholar?q=N.+Pham+and+R.+Pagh.+Fast+and+scalable+polynomial+kernels+via+explicit+feature+maps.+In+KDD%2C+pages+239%E2%80%93247%2C+2013.","search")</f>
        <v/>
      </c>
      <c r="G132" s="3" t="n"/>
      <c r="H132" s="3" t="n"/>
      <c r="I132" s="3" t="n"/>
      <c r="J132" s="3" t="n"/>
      <c r="K132" t="inlineStr">
        <is>
          <t>Fast and scalable polynomial kernels via explicit feature maps</t>
        </is>
      </c>
      <c r="L132" t="inlineStr">
        <is>
          <t>Proceedings of the 19th ACM SIGKDD international conference on Knowledge discovery and data mining</t>
        </is>
      </c>
      <c r="M132" t="n">
        <v>2013</v>
      </c>
      <c r="N132" t="inlineStr">
        <is>
          <t>10.1145/2487575.2487591</t>
        </is>
      </c>
      <c r="O132" t="inlineStr">
        <is>
          <t>NO</t>
        </is>
      </c>
      <c r="P132" s="3" t="n"/>
    </row>
    <row r="133" ht="42" customHeight="1">
      <c r="A133" t="inlineStr">
        <is>
          <t>V132</t>
        </is>
      </c>
      <c r="B133" t="inlineStr">
        <is>
          <t>2016</t>
        </is>
      </c>
      <c r="C133" t="inlineStr">
        <is>
          <t>Arxiv_CS_2016</t>
        </is>
      </c>
      <c r="D133" t="inlineStr">
        <is>
          <t>1607.08583v1.pdf</t>
        </is>
      </c>
      <c r="E133" s="2" t="inlineStr">
        <is>
          <t>H. Chen. Dark web: Exploring and data mining the dark side of the web, volume 30. Springer Science &amp; Business Media, 2011.</t>
        </is>
      </c>
      <c r="F133">
        <f>HYPERLINK("https://scholar.google.com/scholar?q=H.+Chen.+Dark+web%3A+Exploring+and+data+mining+the+dark+side+of+the+web%2C+volume+30.+Springer+Science+%26+Business+Media%2C+201","search")</f>
        <v/>
      </c>
      <c r="G133" s="3" t="n"/>
      <c r="H133" s="3" t="n"/>
      <c r="I133" s="3" t="n"/>
      <c r="J133" s="3" t="n"/>
      <c r="K133" t="inlineStr">
        <is>
          <t>Dark Web Attribute System</t>
        </is>
      </c>
      <c r="L133" t="inlineStr">
        <is>
          <t>Integrated Series in Information Systems</t>
        </is>
      </c>
      <c r="M133" t="n">
        <v>2011</v>
      </c>
      <c r="N133" t="inlineStr">
        <is>
          <t>10.1007/978-1-4614-1557-2_8</t>
        </is>
      </c>
      <c r="O133" t="inlineStr">
        <is>
          <t>NO</t>
        </is>
      </c>
      <c r="P133" s="3" t="n"/>
    </row>
    <row r="134" ht="42" customHeight="1">
      <c r="A134" t="inlineStr">
        <is>
          <t>V133</t>
        </is>
      </c>
      <c r="B134" t="inlineStr">
        <is>
          <t>2016</t>
        </is>
      </c>
      <c r="C134" t="inlineStr">
        <is>
          <t>NeurIPS_2016</t>
        </is>
      </c>
      <c r="D134" t="inlineStr">
        <is>
          <t>33bb83720ba9d2b6da87114380314af5-Paper.pdf</t>
        </is>
      </c>
      <c r="E134" s="2" t="inlineStr">
        <is>
          <t>D. Blei, T. Grifﬁths, M. Jordan, and J. Tenenbaum. Hierarchical topic models and the nested chinese restaurant process. In Advances in Neural Information Processing System, NIPS ’03, 2003.</t>
        </is>
      </c>
      <c r="F134">
        <f>HYPERLINK("https://scholar.google.com/scholar?q=D.+Blei%2C+T.+Grif%EF%AC%81ths%2C+M.+Jordan%2C+and+J.+Tenenbaum.+Hierarchical+topic+models+and+the+nested+chinese+restaurant+process.+","search")</f>
        <v/>
      </c>
      <c r="G134" s="3" t="n"/>
      <c r="H134" s="3" t="n"/>
      <c r="I134" s="3" t="n"/>
      <c r="J134" s="3" t="n"/>
      <c r="K134" t="inlineStr">
        <is>
          <t>The nested chinese restaurant process and bayesian nonparametric inference of topic hierarchies</t>
        </is>
      </c>
      <c r="L134" t="inlineStr">
        <is>
          <t>Journal of the ACM</t>
        </is>
      </c>
      <c r="M134" t="n">
        <v>2010</v>
      </c>
      <c r="N134" t="inlineStr">
        <is>
          <t>10.1145/1667053.1667056</t>
        </is>
      </c>
      <c r="O134" t="inlineStr">
        <is>
          <t>YES</t>
        </is>
      </c>
      <c r="P134" s="3" t="n"/>
    </row>
    <row r="135" ht="42" customHeight="1">
      <c r="A135" t="inlineStr">
        <is>
          <t>V134</t>
        </is>
      </c>
      <c r="B135" t="inlineStr">
        <is>
          <t>2016</t>
        </is>
      </c>
      <c r="C135" t="inlineStr">
        <is>
          <t>Arxiv_CS_2016</t>
        </is>
      </c>
      <c r="D135" t="inlineStr">
        <is>
          <t>1606.09449v2.pdf</t>
        </is>
      </c>
      <c r="E135" s="2" t="inlineStr">
        <is>
          <t>W. Dvor´ak, S. Szeider, and S. Woltran. Reasoning in argumentation frameworks of bounded clique- width. In Proc. COMMA, volume 216 of Frontiers in Artiﬁcial Intelligence and Applications, pages 219–230. IOS Press, 2010. ISBN 978-1-60750-618-8. URL http://dx.doi.org/10.3233/ 978-1-60750-619-5-219.</t>
        </is>
      </c>
      <c r="F135">
        <f>HYPERLINK("https://scholar.google.com/scholar?q=W.+Dvor%C2%B4ak%2C+S.+Szeider%2C+and+S.+Woltran.+Reasoning+in+argumentation+frameworks+of+bounded+clique-+width.+In+Proc.+COMMA%2C+","search")</f>
        <v/>
      </c>
      <c r="G135" s="3" t="n"/>
      <c r="H135" s="3" t="n"/>
      <c r="I135" s="3" t="n"/>
      <c r="J135" s="3" t="n"/>
      <c r="K135" t="inlineStr">
        <is>
          <t>Reasoning in Argumentation Frameworks of Bounded Clique-Width</t>
        </is>
      </c>
      <c r="L135" t="inlineStr">
        <is>
          <t>Frontiers in Artificial Intelligence and Applications</t>
        </is>
      </c>
      <c r="M135" t="n">
        <v>2010</v>
      </c>
      <c r="N135" t="inlineStr">
        <is>
          <t>10.3233/978-1-60750-619-5-219</t>
        </is>
      </c>
      <c r="O135" t="inlineStr">
        <is>
          <t>NO</t>
        </is>
      </c>
      <c r="P135" s="3" t="n"/>
    </row>
    <row r="136" ht="42" customHeight="1">
      <c r="A136" t="inlineStr">
        <is>
          <t>V135</t>
        </is>
      </c>
      <c r="B136" t="inlineStr">
        <is>
          <t>2016</t>
        </is>
      </c>
      <c r="C136" t="inlineStr">
        <is>
          <t>Arxiv_Bio_2016</t>
        </is>
      </c>
      <c r="D136" t="inlineStr">
        <is>
          <t>1610.03521v2.pdf</t>
        </is>
      </c>
      <c r="E136" s="2" t="inlineStr">
        <is>
          <t>X. Fan, P. Dion, J. Laganiere, B. Brais, and G. A. Rouleau. Oligomerization of polyalanine expanded pabpn1 facilitates nuclear protein aggregation that is associated with cell death. Human molecular genetics, 10(21):2341–2351, 2001.</t>
        </is>
      </c>
      <c r="F136">
        <f>HYPERLINK("https://scholar.google.com/scholar?q=X.+Fan%2C+P.+Dion%2C+J.+Laganiere%2C+B.+Brais%2C+and+G.+A.+Rouleau.+Oligomerization+of+polyalanine+expanded+pabpn1+facilitates+n","search")</f>
        <v/>
      </c>
      <c r="G136" s="3" t="n"/>
      <c r="H136" s="3" t="n"/>
      <c r="I136" s="3" t="n"/>
      <c r="J136" s="3" t="n"/>
      <c r="K136" t="inlineStr">
        <is>
          <t>Oligomerization of polyalanine expanded PABPN1 facilitates nuclear protein aggregation that is associated with cell death</t>
        </is>
      </c>
      <c r="L136" t="inlineStr">
        <is>
          <t>Human Molecular Genetics</t>
        </is>
      </c>
      <c r="M136" t="n">
        <v>2001</v>
      </c>
      <c r="N136" t="inlineStr">
        <is>
          <t>10.1093/hmg/10.21.2341</t>
        </is>
      </c>
      <c r="O136" t="inlineStr">
        <is>
          <t>NO</t>
        </is>
      </c>
      <c r="P136" s="3" t="n"/>
    </row>
    <row r="137" ht="42" customHeight="1">
      <c r="A137" t="inlineStr">
        <is>
          <t>V136</t>
        </is>
      </c>
      <c r="B137" t="inlineStr">
        <is>
          <t>2016</t>
        </is>
      </c>
      <c r="C137" t="inlineStr">
        <is>
          <t>NeurIPS_2016</t>
        </is>
      </c>
      <c r="D137" t="inlineStr">
        <is>
          <t>076a0c97d09cf1a0ec3e19c7f2529f2b-Paper.pdf</t>
        </is>
      </c>
      <c r="E137" s="2" t="inlineStr">
        <is>
          <t>Charles Blundell, Julien Cornebise, Koray Kavukcuoglu, and Daan Wierstra. Weight uncertainty in neural network. In ICML, 2015.</t>
        </is>
      </c>
      <c r="F137">
        <f>HYPERLINK("https://scholar.google.com/scholar?q=Charles+Blundell%2C+Julien+Cornebise%2C+Koray+Kavukcuoglu%2C+and+Daan+Wierstra.+Weight+uncertainty+in+neural+network.+In+ICML%2C","search")</f>
        <v/>
      </c>
      <c r="G137" s="3" t="n"/>
      <c r="H137" s="3" t="n"/>
      <c r="I137" s="3" t="n"/>
      <c r="J137" s="3" t="n"/>
      <c r="K137" t="inlineStr">
        <is>
          <t>Utile distinction hidden Markov models</t>
        </is>
      </c>
      <c r="L137" t="inlineStr">
        <is>
          <t>Twenty-first international conference on Machine learning  - ICML '04</t>
        </is>
      </c>
      <c r="M137" t="n">
        <v>2004</v>
      </c>
      <c r="N137" t="inlineStr">
        <is>
          <t>10.1145/1015330.1015346</t>
        </is>
      </c>
      <c r="O137" t="inlineStr">
        <is>
          <t>YES</t>
        </is>
      </c>
      <c r="P137" s="3" t="n"/>
    </row>
    <row r="138" ht="42" customHeight="1">
      <c r="A138" t="inlineStr">
        <is>
          <t>V137</t>
        </is>
      </c>
      <c r="B138" t="inlineStr">
        <is>
          <t>2026</t>
        </is>
      </c>
      <c r="C138" t="inlineStr">
        <is>
          <t>Arxiv_General_Latest</t>
        </is>
      </c>
      <c r="D138" t="inlineStr">
        <is>
          <t>2604.05488v1.pdf</t>
        </is>
      </c>
      <c r="E138" s="2" t="inlineStr">
        <is>
          <t>H. Dreicer. Phys. Rev., 115:238 (1959).</t>
        </is>
      </c>
      <c r="F138">
        <f>HYPERLINK("https://scholar.google.com/scholar?q=H.+Dreicer.+Phys.+Rev.%2C+115%3A238+%281959%29.","search")</f>
        <v/>
      </c>
      <c r="G138" s="3" t="n"/>
      <c r="H138" s="3" t="n"/>
      <c r="I138" s="3" t="n"/>
      <c r="J138" s="3" t="n"/>
      <c r="K138" t="inlineStr">
        <is>
          <t>Electron and Ion Runaway in a Fully Ionized Gas. I</t>
        </is>
      </c>
      <c r="L138" t="inlineStr">
        <is>
          <t>Physical Review</t>
        </is>
      </c>
      <c r="M138" t="n">
        <v>1959</v>
      </c>
      <c r="N138" t="inlineStr">
        <is>
          <t>10.1103/physrev.115.238</t>
        </is>
      </c>
      <c r="O138" t="inlineStr">
        <is>
          <t>YES</t>
        </is>
      </c>
      <c r="P138" s="3" t="n"/>
    </row>
    <row r="139" ht="42" customHeight="1">
      <c r="A139" t="inlineStr">
        <is>
          <t>V138</t>
        </is>
      </c>
      <c r="B139" t="inlineStr">
        <is>
          <t>2023</t>
        </is>
      </c>
      <c r="C139" t="inlineStr">
        <is>
          <t>Arxiv_Bio_2023</t>
        </is>
      </c>
      <c r="D139" t="inlineStr">
        <is>
          <t>2306.09186v1.pdf</t>
        </is>
      </c>
      <c r="E139" s="2" t="inlineStr">
        <is>
          <t>J. Bezanson, A. Edelman, S. Karpinski, and V. B. Shah, “Julia: A fresh approach to numerical computing,” SIAM Review, vol. 59, no. 1, pp. 65– 98, 2017. 10</t>
        </is>
      </c>
      <c r="F139">
        <f>HYPERLINK("https://scholar.google.com/scholar?q=J.+Bezanson%2C+A.+Edelman%2C+S.+Karpinski%2C+and+V.+B.+Shah%2C+%E2%80%9CJulia%3A+A+fresh+approach+to+numerical+computing%2C%E2%80%9D+SIAM+Review%2C+vo","search")</f>
        <v/>
      </c>
      <c r="G139" s="3" t="n"/>
      <c r="H139" s="3" t="n"/>
      <c r="I139" s="3" t="n"/>
      <c r="J139" s="3" t="n"/>
      <c r="K139" t="inlineStr">
        <is>
          <t>Julia: A Fresh Approach to Numerical Computing</t>
        </is>
      </c>
      <c r="L139" t="inlineStr">
        <is>
          <t>SIAM Review</t>
        </is>
      </c>
      <c r="M139" t="n">
        <v>2017</v>
      </c>
      <c r="N139" t="inlineStr">
        <is>
          <t>10.1137/141000671</t>
        </is>
      </c>
      <c r="O139" t="inlineStr">
        <is>
          <t>NO</t>
        </is>
      </c>
      <c r="P139" s="3" t="n"/>
    </row>
    <row r="140" ht="42" customHeight="1">
      <c r="A140" t="inlineStr">
        <is>
          <t>V139</t>
        </is>
      </c>
      <c r="B140" t="inlineStr">
        <is>
          <t>2023</t>
        </is>
      </c>
      <c r="C140" t="inlineStr">
        <is>
          <t>Arxiv_CS_2023</t>
        </is>
      </c>
      <c r="D140" t="inlineStr">
        <is>
          <t>2310.10699v1.pdf</t>
        </is>
      </c>
      <c r="E140" s="2" t="inlineStr">
        <is>
          <t>Jacob Devlin, Ming-Wei Chang, Kenton Lee, and Kristina Toutanova. BERT: pre-training of deep bidirectional transformers for language understanding. In NAACL-HLT (1), pages 4171–4186. Association for Computational Linguistics, 2019.</t>
        </is>
      </c>
      <c r="F140">
        <f>HYPERLINK("https://scholar.google.com/scholar?q=Jacob+Devlin%2C+Ming-Wei+Chang%2C+Kenton+Lee%2C+and+Kristina+Toutanova.+BERT%3A+pre-training+of+deep+bidirectional+transformers+","search")</f>
        <v/>
      </c>
      <c r="G140" s="3" t="n"/>
      <c r="H140" s="3" t="n"/>
      <c r="I140" s="3" t="n"/>
      <c r="J140" s="3" t="n"/>
      <c r="K140" t="n">
        <v/>
      </c>
      <c r="L140" t="inlineStr">
        <is>
          <t>Proceedings of the 2019 Conference of the North</t>
        </is>
      </c>
      <c r="M140" t="n">
        <v>2019</v>
      </c>
      <c r="N140" t="inlineStr">
        <is>
          <t>10.18653/v1/n19-1423</t>
        </is>
      </c>
      <c r="O140" t="inlineStr">
        <is>
          <t>NO</t>
        </is>
      </c>
      <c r="P140" s="3" t="n"/>
    </row>
    <row r="141" ht="42" customHeight="1">
      <c r="A141" t="inlineStr">
        <is>
          <t>V140</t>
        </is>
      </c>
      <c r="B141" t="inlineStr">
        <is>
          <t>2023</t>
        </is>
      </c>
      <c r="C141" t="inlineStr">
        <is>
          <t>NeurIPS_2023</t>
        </is>
      </c>
      <c r="D141" t="inlineStr">
        <is>
          <t>040ace837dd270a87055bb10dd7c0392-Paper-Conference.pdf</t>
        </is>
      </c>
      <c r="E141" s="2" t="inlineStr">
        <is>
          <t>Jia Deng, Wei Dong, Richard Socher, Li-Jia Li, Kai Li, and Li Fei-Fei. Imagenet: A large-scale hierarchical image database. In 2009 IEEE Computer Society Conference on Computer Vision and Pattern Recognition (CVPR 2009), 20-25 June 2009, Miami, Florida, USA, pages 248–255. IEEE Computer Society, 2009.</t>
        </is>
      </c>
      <c r="F141">
        <f>HYPERLINK("https://scholar.google.com/scholar?q=Jia+Deng%2C+Wei+Dong%2C+Richard+Socher%2C+Li-Jia+Li%2C+Kai+Li%2C+and+Li+Fei-Fei.+Imagenet%3A+A+large-scale+hierarchical+image+databa","search")</f>
        <v/>
      </c>
      <c r="G141" s="3" t="n"/>
      <c r="H141" s="3" t="n"/>
      <c r="I141" s="3" t="n"/>
      <c r="J141" s="3" t="n"/>
      <c r="K141" t="inlineStr">
        <is>
          <t>ImageNet: A large-scale hierarchical image database</t>
        </is>
      </c>
      <c r="L141" t="inlineStr">
        <is>
          <t>2009 IEEE Conference on Computer Vision and Pattern Recognition</t>
        </is>
      </c>
      <c r="M141" t="n">
        <v>2009</v>
      </c>
      <c r="N141" t="inlineStr">
        <is>
          <t>10.1109/cvpr.2009.5206848</t>
        </is>
      </c>
      <c r="O141" t="inlineStr">
        <is>
          <t>NO</t>
        </is>
      </c>
      <c r="P141" s="3" t="n"/>
    </row>
    <row r="142" ht="42" customHeight="1">
      <c r="A142" t="inlineStr">
        <is>
          <t>V141</t>
        </is>
      </c>
      <c r="B142" t="inlineStr">
        <is>
          <t>2016</t>
        </is>
      </c>
      <c r="C142" t="inlineStr">
        <is>
          <t>Arxiv_CS_2016</t>
        </is>
      </c>
      <c r="D142" t="inlineStr">
        <is>
          <t>1608.00302v2.pdf</t>
        </is>
      </c>
      <c r="E142" s="2" t="inlineStr">
        <is>
          <t>Dunne, P.E.: Computational properties of argument systems satisfy- ing graph-theoretic constraints. Artiﬁcial Intelligence 171(10-15) (2007) 701–729</t>
        </is>
      </c>
      <c r="F142">
        <f>HYPERLINK("https://scholar.google.com/scholar?q=Dunne%2C+P.E.%3A+Computational+properties+of+argument+systems+satisfy-+ing+graph-theoretic+constraints.+Arti%EF%AC%81cial+Intelligen","search")</f>
        <v/>
      </c>
      <c r="G142" s="3" t="n"/>
      <c r="H142" s="3" t="n"/>
      <c r="I142" s="3" t="n"/>
      <c r="J142" s="3" t="n"/>
      <c r="K142" t="inlineStr">
        <is>
          <t>Computational properties of argument systems satisfying graph-theoretic constraints</t>
        </is>
      </c>
      <c r="L142" t="inlineStr">
        <is>
          <t>Artificial Intelligence</t>
        </is>
      </c>
      <c r="M142" t="n">
        <v>2007</v>
      </c>
      <c r="N142" t="inlineStr">
        <is>
          <t>10.1016/j.artint.2007.03.006</t>
        </is>
      </c>
      <c r="O142" t="inlineStr">
        <is>
          <t>YES</t>
        </is>
      </c>
      <c r="P142" s="3" t="n"/>
    </row>
    <row r="143" ht="42" customHeight="1">
      <c r="A143" t="inlineStr">
        <is>
          <t>V142</t>
        </is>
      </c>
      <c r="B143" t="inlineStr">
        <is>
          <t>2023</t>
        </is>
      </c>
      <c r="C143" t="inlineStr">
        <is>
          <t>Arxiv_CS_2023</t>
        </is>
      </c>
      <c r="D143" t="inlineStr">
        <is>
          <t>2312.17168v1.pdf</t>
        </is>
      </c>
      <c r="E143" s="2" t="inlineStr">
        <is>
          <t>URL https://proceedings.mlr.press/v80/haarnoja18b.html. Andrew Jesson, Panagiotis Tigas, Joost van Amersfoort, Andreas Kirsch, Uri Shalit, and Yarin Gal. Causal-bald: Deep bayesian active learning of outcomes to infer treatment-effects from observa- tional data. In M. Ranzato, A. Beygelzimer, Y. Dauphin, P.S. Liang, and J. Wortman Vaughan, editors, Advances in Neural Information Processing Systems, volume 34, pages 30465–30478. Cur- ran Associates, Inc., 2021. URL https://proceedings.neurips.cc/</t>
        </is>
      </c>
      <c r="F143">
        <f>HYPERLINK("https://scholar.google.com/scholar?q=URL+https%3A%2F%2Fproceedings.mlr.press%2Fv80%2Fhaarnoja18b.html.+Andrew+Jesson%2C+Panagiotis+Tigas%2C+Joost+van+Amersfoort%2C+Andreas+K","search")</f>
        <v/>
      </c>
      <c r="G143" s="3" t="n"/>
      <c r="H143" s="3" t="n"/>
      <c r="I143" s="3" t="n"/>
      <c r="J143" s="3" t="n"/>
      <c r="K143" t="inlineStr">
        <is>
          <t>Articles "Harnessing Spirituality to Combat Workplace Stress" Ritu Saxena, Vibhor Jain DOI 10.52783/jier.v6i1.4117  357  PDF: 402  PDF The Algorithmic Customer: An In-Depth Analysis of the Impact of Artificial Intelligence and Machine Learning on Personalized Marketing Sonal Sharma, Karishma Agarwal, Gourav Kamboj, Esha Mehta, Meenakshi Sharma, Seema Phogat, Sonam Singh  268  PDF: 292  PDF A study on Attitudinal and Emotional loyalty of Tourists towards Ayurvedic Tourism to build Kerala as an international Ayurvedic Tourism Brand Bijoy K P, Mrinmoy Battacharjee  149  PDF: 116  PDF Online Classroom Models and Learning Outcomes in Professional Education: A Quantitative Study of MBA Students Venkatachalam Ramakrishnan, N. Manikandan  123  PDF: 148  PDF Consumer Buying Behavior towards Luxury Branded Durable Goods in Patna City, Bihar, India Anumeha Singh, Anisa Khanam  151  PDF: 155  PDF A Study Of Emotional Intelligence Of Taekwondo Players Mr. Vipin Kumar Gautam, Dr. Madhusudan Chakraborty  132  PDF: 91  PDF A Descriptive Study On Personality Traits And Demographic Profile Of Individuals Using The Big Five Model S. K. Udhaya Jothi, Dr. M. Punitham  112  PDF: 89  PDF Climbing The Ladder: Digital Skills, Mentorship, And Career Growth Of Young Professionals Mrs.G.Vanitha, Dr.R.Ashokkumar2  112  PDF: 60  PDF The Role of Neuromarketing in Enhancing Digital Marketing Effectiveness Dr.V.Mythili, Dr.M.Aruna, Dr Poornima B, Dr. P. Preetha, Ms. Kanidha P  248  PDF: 124  PDF Role Of Brand Equity In Higher Education Ashish Tambe, Dr. Prerna Kumar  135  PDF: 118  PDF From Habermasian Hegemony of the Public Sphere to the Plurality of Digital Spaces: A Critical Sociological Study of the Reproduction of Collective Identities and Social Relations Under the Influence of Communication Technologies Arzazi Mohammad, Housny Hamra  109  PDF: 92  PDF Contribution of Modern Information and Communication Technology in Enhancing the Quality of Accounting Information: A Field Study Salah Haddad, Maamar Riahi  116  PDF: 75  PDF Cultural Roots and Culinary Revival: Integrating Indigenous Practices Into Sustainable Hospitality and Architecture Design Mr. Prashant Singh, Ms. Neha Mishra, Ms. Shrusti Sonker, Mr. Ashutosh Pathak, Mr. Shivansu Sachan, Mr. Ankit Kumar, Mr. Vanshika Srivastava DOI 10.52783/jier.v6i1.4154  125  PDF: 67  PDF Typography Without A Typographer: Reframing Authorship And Creative Agency In Ai-Driven Packaging Design In India Arjita Singh, Tanisha Wadhawan, Dr. Jyoti Agnihotri, Mr. Shivansu Sachan, Mr. Ankit Kumar, Ms. Aishwarya Arya, Ms. Vanshika Srivastava DOI 10.52783/jier.v6i1.4155  135  PDF: 106  PDF Depiction of Id, Ego and Superego in ‘Wuthering Heights’ by Emile Bronte Dr Kiran Mamgain, Ms Lajwanti M., Ms Aakshi Chhetri DOI 10.52783/jier.v6i1.4158  196  PDF: 73  PDF Service Quality and Its Effect on Customer Satisfaction in Digital Banking Mansi Mangla, Akanchha Singh, Sunil Kadyan DOI 10.52783/jier.v6i1.4159  259  PDF: 163  PDF The Role of Education Management Information Systems in Enhancing Academic Performance: A Systematic Review Sunaina Tyagi, Vinod Kumar Jain  221  PDF: 104  PDF Neuromarketing and Consumer Behaviour Mohd Azam, Atul Asthana, Arpit Verma  175  PDF: 117  PDF The Effect of Macroeconomic Factors on the Contribution of Systematic Investment Plans of Mutual Fund Schemes in India Rohini. S, M. Jayanthi DOI 10.52783/jier.v6i1.4162  141  PDF: 67  PDF Greening the Workforce: A Sustainable Human Resources Framework for SMEs through AI and Agile Methodologies Piyush Kumar, Balgopal Singh  98  PDF: 60  PDF Empowering Emotional Well-Being: Generation Z’s Openness to Relationship Support Services Neha Kaushik, Sakshi Kaul  129  PDF: 47  PDF Indian Diaspora and Its Role in Promoting India’s National Interest- An Evaluation Shekhar Choudhary, Parth Sharma  74  PDF: 102  PDF The Rise of Young and First-Time Investors in the Indian Stock Market after the COVID-19 pandemic Manoj Kumar, Deepak Kumar  106  PDF: 151  PDF An Empirical Investigation of Commercial Banks’ Impact on Financial Management, Macroeconomic Factors, And Financial Risks Debendra Shadangi, Sarika, Jalendar Reddy Maligireddy, Nisha K G, L. Vijayakumar, Putti Selvaraj DOI 10.52783/jier.v6i1.4167  125  PDF: 66  PDF The Impact of Digital Marketing Management and Quality of Service on the Sales Performance of Smes in the Digital Age Debendra Shadangi, H. H. Ramesha, Prachita Patil, Naveen Kumar B, L. Vijayakumar, Leelavathi H DOI 10.52783/jier.v6i1.4168  140  PDF: 77  PDF “Examining the Relationship Between Governance Structures and Financial Viability in Health Insurance Companies – An Empirical Study” Rakesh N, Vishal Srivastava DOI 10.52783/jier.v6i1.4174  96  PDF: 39  PDF A Comparative Study Of Depression Among Athletes And Non-Athletes Lokesh Adhikari, Madhusudan Chakraborty DOI 10.52783/jier.v6i1.4175  149  PDF: 84  PDF “A Study on Explainable Artificial Intelligence (AI) Techniques to Increase Transparency in Predictive Analytics for Education in India: Conceptual Analysis” Abhishek Jain, Shivani Gulati, Shama Rani, Vandana, Divyansh Taneja DOI 10.52783/jier.v6i1.4177  156  PDF: 78  PDF Impact of Regulatory Shocks and Consolidation on the Stock Market Reactions of Previously Merged firms in the Indian Automobile and Banking Sectors Ananya Saha, Deepak Kumar Kedia, Sreekumar, Biswajit Satpathy DOI 10.52783/jier.v6i1.4178  94  PDF: 65  PDF Advancing Global Competence in Higher Education through Education for Sustainable Development (ESD) Sanjay Kumar Singh, Shushant Yadav DOI 10.52783/jier.v6i1.4179  128  PDF: 68  PDF Index Rebalancing and its Valuation Ripple: A Deep Dive into Nifty 500 Companies Devyanshu Garg, Meena Sharma DOI 10.52783/jier.v6i1.4180  144  PDF: 113  PDF Influence of Social Media Marketing on the Brand Image of Higher Education Institutions: A Student Perspective Manisha Pipariya, Deepak Jaroliya, Pragya Jaroliya  109  PDF: 105  PDF HR Analytics Meets Customer Insights: Leveraging Marketing Metrics for Workforce Optimization Kavipragash R, Dinesh Gabhane, Sruthi S DOI 10.52783/jier.v6i1.4188  115  PDF: 55  PDF A Study on Evaluating Psychological Factors Influencing Plant-Based Diet Among Gen Z Ravi Kanji Chavda, Aparna Jain DOI 10.52783/jier.v6i1.4191  90  PDF: 68  PDF Impact of Global Tariff Wars on the Supply Chain of Pharmaceutical Raw Materials: A Study of Api and Fine Chemical Imports in India Kapil Dev Pandey  112  PDF: 61  PDF Achieving Competitive Advantage through Effective Human Resource Management and Sustainability in the Flexible Packaging Industry Parwez Izhar, Vineet Kaushik  56  PDF: 48  PDF Requirements for the Digitalization of Public Institutions and Administrations and Their Role in Modernizing Administrative Activity and Achieving Good Governance Aouane Ali, Menia Laid, Arib Mohamed DOI 10.52783/jier.v6i1.4196  113  PDF: 66  PDF The Effects of Using Artificial Intelligence Technologies on The Growth and Development of Emerging Institutions Bouzekri Achour, Omrane Dalila Batoul Manel DOI 10.52783/jier.v6i1.4197  101  PDF: 57  PDF Legal Governance of Competition in Public Procurement: Economic Implications and International Comparisons Meddah Rima Madjouba DOI 10.52783/jier.v6i1.4198  85  PDF: 48  PDF Newly introduced legal mechanisms for investment development in Algeria under Law 22/18 Moulay Zakaria, Limam cheref DOI 10.52783/jier.v6i1.4199  97  PDF: 33  PDF Impact of Adjustment and Academic Interest of Children of Working Women on their Educational Achievement in Mathematics and Science Mohit Kumar, Pawas Kumar Mandal DOI 10.52783/jier.v6i1.4205  102  PDF: 37  PDF The Role of Cultural Intelligence on Secondary School Students' Behavioral Development Savitri Karayat, Pawas Kumar Mandal DOI 10.52783/jier.v6i1.4206  99  PDF: 61  PDF Investigating the Relationship between Media Ownership and Editorial Content: A Study on the Influence of Corporate Interests on Journalism Ram Sunder Kumar, Ganesh Shankar, Lucky Parashar DOI 10.52783/jier.v6i1.4212  192  PDF: 73  PDF Integrating Classroom Pedagogies with Sustainable Development Goals: Fostering Skills for a Resilient Future Kavita Singh, Komal DOI 10.52783/jier.v6i1.4213  71  PDF: 39  PDF “The Progression of Anti-Money Laundering Regulations: A Global Perspective” Harminder Chopra, Kunal Shaktawat DOI 10.52783/jier.v6i1.4214  88  PDF: 52  PDF The Impact of Microbreaks on Employee Productivity in Hybrid Work Environments Natasha Parashuram Shroti, Krovvidi Krishna Kumari, Manish Jain DOI 10.52783/jier.v6i1.4216  181  PDF: 59  PDF Retracted DOI 10.52783/jier.v6i1.4222  93 “Ethical Artificial Intelligence in University HRM: Implications for Faculty Mental Satisfaction, Commitment and Retention” Neha Tiwari, Aditya Sharma  67  PDF: 47  PDF Challenges in Implementing Artificial Intelligence (AI) in the Research Area of Management Institutes Sandeep Moghe, Shankar Chaudhary  79  PDF: 31  PDF Bridging the Gap of Credit: A Micro-Level Analysis of Kisan Credit Card (KCC) in Prayagraj District Ayaz Ahmad  78  PDF: 44  PDF Assessing the Financial Impact of Covid-19 on Private Educational Institutions: A Study of Raipur Division Sakshi Kahar, Satya Kishan  69  PDF: 44  PDF "Who Finds Fulfillment at Work? Analyzing Job Satisfaction Disparities by Demographic Groups in Healthcare Settings of Mumbai City" Rashma Nathani, Seema Pandit DOI 10.52783/jier.v6i1.4230  87  PDF: 40  PDF Breaking the Silence: Laughter Percussion as a Transformative Modality in Counseling Psychology Idi Banamungu  215  PDF: 109  PDF Impact of Effective Teaching Strategies for the Students with Learning Disabilities Braj Kishore Jha, Pawas Kumar Mandal  65  PDF: 47  PDF Artificial Intelligence (Ai) In Human Resource Decision-Making: Opportunities, Risks, And Ethical Challenges Abdul Rahman Noordeen DOI 10.52783/jier.v6i1.4239  142  PDF: 43  PDF The Role of Artificial Intelligence (AI) and Emotional Intelligence in Enhancing Leadership Effectiveness and Team Performance Abdul Rahman Noordeen DOI 10.52783/jier.v6i1.4240  133  PDF: 72  PDF Risk-Adjusted Performance of Sustainable Mutual Funds: Evidence from Emerging and Developed Markets Safia Khan, Tarika Singh Sikarwar DOI 10.52783/jier.v6i1.4241  111  PDF: 62  PDF The literary Text from the Poetics of Genres to Textual Structures Kara Mostefa Noureddine DOI 10.52783/jier.v6i1.4242  60  PDF: 43  PDF Corporate Governance and Fraud Prevention: An Empirical Study of Indian Corporations Khushboo Singh DOI 10.52783/jier.v6i1.4243  119  PDF: 46  PDF Effect of Machine Learning on Human Resources, Marketing, and Financial Aspects of E-Commerce Nagarajan G, Aruna Gudimetla, P.GopinadhRao, G.Henry James, SVN Kumar DOI 10.52783/jier.v6i1.4244  103  PDF: 38  PDF The Impact of Staff Performance with Green Human Resource Management (HRM) Practices in Business Sustainability Ravi M.N, Suman Shetty N DOI 10.52783/jier.v6i1.4245  78  PDF: 44  PDF The Role of Internet of Things Data in Stock Market Forecasting: A New Frontier for Financial Management Jaymin Arvind Shah, Aditya Arvind Sontakke, Kaustubh Sontakke, Surbhi Sharma, Sumeet Gupta, D. Stalin David DOI 10.52783/jier.v6i1.4246  86  PDF: 37  PDF Mediating the Impact of Customer Relationship Management on the Influence of Online Purchase Intent through Digital Marketing Management Gajendra Kumar Gupta, Vivek Kumar Mishra, Pragati Malik, Mohammad Salahuddin Ansari, Mithilesh Kumar Tyagi DOI 10.52783/jier.v6i1.4247  97  PDF: 27  PDF Dharma, Artha and Yogakṣema: Re‑reading Indian Knowledge Systems through Śāstra, Upāya, Sāma and Dāna Abhishek Verma, Amarnath Paswan DOI 10.52783/jier.v6i1.4248  78  PDF: 62  PDF Enhancing Financial Performance and Sustainable Growth in Food Processing SMEs through Working Capital Management Optimization: A Systematic Literature Review Gahana G Shanbhag, Ujjawal Mishra, Vishal Singh Rajput, Krovvidi Krishna Kumari, Manish Jain DOI 10.52783/jier.v6i1.4249  99  PDF: 56  PDF Scientific Management in the Era of Artificial Intelligence A Socio-Organizational Interpretation Hadjadj Madani DOI 10.52783/jier.v6i1.4251  64  PDF: 32  PDF Financial Literacy and Investment Decisions: A Systematic Review of Empirical Evidence Sudha Pandey, Manjula Jain  72  PDF: 23  PDF A Study on Effect of Digital Practices on Sales Performance and Business Sustainability of Msmes Guru M C, Asifulla A DOI 10.52783/jier.v6i1.4255  69  PDF: 53  PDF Integration of Green Propellants in Advanced Chemical Propulsion Systems: Challenges and Innovations for Future Rocketry Jamil Mukthar DOI 10.52783/jier.v6i1.4257  79  PDF: 53  PDF Authenticity in Corporate Social Responsibility: Conceptualizing Employee Perceptions of CSR and Greenwashing in Indian Banking Jaimini Yagnik, Alvina Thomas DOI 10.52783/jier.v6i1.4266  72  PDF: 37  PDF The Future of Journalism in the Digital Age: An Indian Perspective Garima Rai, Shanu Jha, Aditya Uttam DOI 10.52783/jier.v6i1.4271  83  PDF: 66  PDF Exploring User Perception and Trust in Astrology Apps: A Study of Digital Astrology Adoption and Engagement Shruti Mishra, Raji Rajan, Himanshu Mathur, Shefali Shukla DOI 10.52783/jier.v6i1.4272  98  PDF: 23  PDF Media Law In the Digital Era: Regulatory Transformations, Judicial Safeguards, And Democratic Concerns in India Ram Sunder Kumar, Richa Chandi, Vikash Singhal DOI 10.52783/jier.v6i1.4273  76  PDF: 39  PDF Associations between Body Composition Indicators and Lower-Limb Explosive Performance in Elite Algerian Basketball Players Seyah Zakaria, larbi Mohammed, Abbache Ayoub  40  PDF: 19  PDF Integrating Smart HR 4.0 Technologies for Sustainable Talent Acquisition in Rural Handicraft Industries Mayank Chauhan, Nainsee Singh, V.K. Singh, Rajan Singh DOI 10.52783/jier.v6i1.4276  72  PDF: 41  PDF Organic Infrastructure vs. Inorganic Expansion: A Comparative Analysis of Capex-Led and Acquisition-Led Growth Strategies in Leading Indian Corporations (FY20–FY25). Aniket Sharma DOI 10.52783/jier.v6i1.4298  39  PDF: 51  PDF A Correlational Study of Triguna Traits and Psychological Well-Being of Indian Adults Nisha Matani, Megha Taragi, Anjana S. Chauhan, Hanshika Deep Mehta DOI 10.52783/jier.v6i1.4299  75  PDF: 43  PDF Intelligent Machine Learning-Based System for Disease Prediction and Drug Recommendation Syeda Maherunnisa, Vishal Walia  40  PDF: 32  PDF Biodegradable Waste Management at Institutional Site: An Overview Prerna Sharma, Anindita Roy Chowdhury DOI 10.52783/jier.v6i1.4305  45  PDF: 33  PDF Machine Learning and Artificial Intelligence Faux News Detection: A Review Analysis Jagriti Singh, Mahesh Chandra Joshi, Preeti Nagar DOI 10.52783/jier.v6i1.4306  72  PDF: 24  PDF Empowering Management: How AI Tools Are Revolutionizing Daily Corporate Tasks for Managers Prerna Sharma, Sheetal Yadav, Hemangi Rudhankar DOI 10.52783/jier.v6i1.4307  41  PDF: 26  PDF The Role of Artificial Intelligence in Enhancing Business Decision-Making: Challenges and Opportunities in Mumbai-Based Enterprises Shashank Khedekar, Samadhan Bundhe DOI 10.52783/jier.v6i1.4308  52  PDF: 30  PDF Performance Management Systems in Marketing: Aligning HRM Practices with Marketing Objectives Putti Selvaraj, Neha Choudhary, Shaurya Pratap Singh, M. Mohanraj, L. Vijayakumar, Deepak Singh Bhadauria DOI 10.52783/jier.v6i1.4309  93  PDF: 28  PDF Globalizing Entrepreneurship: How AI and IoT are Shaping Cross-Border Business Models and Market Strategies Parul Mittal, Shilpa Budhavale, Amit Kansal, Mahesh Soni, Swati Agarwal, D. Stalin David DOI 10.52783/jier.v6i1.4310  49  PDF: 25  PDF Social Media as a Dual HR and Marketing Tool: A Study on Brand Image and Talent Attraction Tushar Batra, Aaron Abhilash Yegudala, Deepak Devgan,Yadvinder Parmar  41  PDF: 21  PDF Structuring Investment Waqf Funds to Support Startups in Algeria: A Proposed Vision Aboubakre Samir Guioua, Saidi Mouloud, Guesseier Ahmed, Pr Chihab Ilimi  44  PDF: 52  PDF Bridging the Digital Literacy Divide: A Comparative Assessment of Financial Fraud Prevention Interventions in Urban and Rural Rajasthan Himanshu Sharma, Kamakshi Mehta, Renuka Kumawat, Subhabaha Pal  39  PDF: 32  PDF Enhancing Digital Retail Through Extended Reality: Consumer Experience and Behavioral Effects Karthikeyan K, D.Prashanth DOI 10.52783/jier.v6i1.4318  58  PDF: 31  PDF Reinventing Media Production: A Study on Modern Infrastructure and Emerging Technologies Surender Paliwal, Kuldeep Siwach DOI 10.52783/jier.v6i1.4319  41  PDF: 25  PDF Adaptive Assessment Engines: Reinforcement Learning in Personalized Academic Evaluation Richa Purohit, Swati Namdevrao Jadhav, Poonam DOI 10.52783/jier.v6i1.4323  91  PDF: 48  PDF From Cash to Connectivity: Digital Financial Inclusion and Market Participation among Zari-Zardozi Artisans Mohit Lohani, Vaniki Joshi Lohani, Pankaj Juneja, Bhupender Singh, Deepti Sharma DOI 10.52783/jier.v6i1.4324  64  PDF: 32  PDF The Use of Relaxation in the Therapy of Stuttering Ismail Hassani, Sakina Saadna, Bairi Rayen  76  PDF: 59  PDF A Study of the Impact of Social Media on the Academic Achievement of Higher Secondary Students Sarita Singh, Anjulata Yadav  191  PDF: 49  PDF The Exercise of National Agency for Tourist the Right of Emption Chafaa Ouankilla Lalla  46  PDF: 32  PDF The Human Security Approach in Confronting Pandemics within the Requirements of International Law: Challenges and Prospects Youssef Kaddour, Ammari Ayoub DOI 10.52783/jier.v6i1.4333  64  PDF: 8  PDF Retracted DOI 10.52783/jier.v6i1.4334  47 Adoption of Fintech Apps for Insurance Purchases: A Study on Consumer Behavior in Mumbai Suburban Manohar Vinod Pathre, Dr Mangesh Vasudeo Panchal  44  PDF: 29  PDF “Evaluating the Alignment of NCHMCT Curriculum with Industry Competency Requirements: A Study of Hospitality Institutions in Delhi NCR.” Yatendra Kumar, Akhil Kumar, Megha Anand, Dinesh Kumar, Nitin Gupta DOI 10.52783/jier.v6i1.4341  43  PDF: 28  PDF Impact of Social Media on Consumer Attitude towards Sustainable Beauty/Personal Care Brands in Mumbai Usha C. Kukreja, Ritu Lund, Soumya Subhash Kutty  57  PDF: 39  PDF Cultural and Digital Transformations and Their Impact on Linguistic Diversity- Towards the Dominance of a Single Language Nasri Zouaoui, Bouzidi Slimane  29  PDF: 24  PDF The History of the Printed Press in Algeria: A Socio-Historical Reading Ben Fatta Mokhtar, Reffas Nour Eddine, Bendida Baghdad, Hadji Rachid, Ailas Mohamed  44  PDF: 31  PDF Green Linguistics: Programming Linguistic Immunity for Artificial Intelligence Assia Sayad  76  PDF: 4  PDF Intuition over Logic? Emotional Branding and Consumer Persuasion in Competitive Markets Ch Siddharth Nanda, Kaushik Mishra  36  PDF: 28  PDF A Study of the Relationship Between Social Maturity and Mental Well-Being of Upper Primary Students Rajeev Kumar Jha, Naheed Bi DOI 10.52783/jier.v6i1.4347  44  PDF: 39  PDF Analysing the Influence of In-Store Technology on Retail Stores Towards Customer Satisfaction K.Vidhyakala DOI 10.52783/jier.v6i1.4353  46  PDF: 21  PDF Navigating Stress and Attitude: Unveiling Performance Drivers in Management Education Professionals Sambhaji Hindurao Kumbhar, Navneesh Tyagi DOI 10.52783/jier.v6i1.4358  43  PDF: 25  PDF Corporate Social Responsibility in Hospitality Dr. Pooja Gianchandani, Dr. Kavita Gupta, Dr. Girish Nandani, Mohd. Sayaid Khurshed Ahmad DOI 10.52783/jier.v6i1.4360  63  PDF: 39  PDF Connecting With Customers: The Impact Of Social Media On Customer Experience In The Telecom Sector Megha G. Bhatt, Dr. Mayuri V.Dhameliya  27  PDF: 21  PDF A Research Study on Women Investors' Attitudes toward Mutual Fund Investments in Rajkot city Kavita Gardharia, Dr. Laveena Dharmwani  49  PDF: 33  PDF Cyber Crime Laws: Adequacy of Existing Legal Frameworks Khoda Meena, Rajeshree Biswas, Nisha Agarwal, Saurab Nag  40  PDF: 30  PDF Status of Unemeployment in Jongksha Village East Kahsi Hills District of Shillong – An Empirical Study Bharath Narayanan DOI 10.52783/jier.v6i1.4367  45  PDF: 24  PDF Redesigning the Insurance Industry: Exploring Evolving Technologies for Insurance Pratik Priyadarshi, Bhanu Pratap DOI 10.52783/jier.v6i1.4371  56  PDF: 39  PDF A study on the Role of Human Resource Management Practices in Shaping Employee Performance Metrics in the Manufacturing Sector Dinesh Chand Gupta, Tanushri Purohit DOI 10.52783/jier.v6i1.4372  71  PDF: 39  PDF From Digital Infrastructure to Quality of Life: Examining the Role of Digital Welfare in Sustainable Growth Elagag Mustapha, Makhloufi Kenza, Mokaddem Tebra  33  PDF: 15  PDF A Machine Learning Framework for Automated Interview Feedback and Performance Evaluation Savitha G, Abhay Rupesh, Aditi Rao H, Anoushka Saini, Anna Sri Ranga Ganesh Anuraag  59  PDF: 30  PDF Integrating Behavioural Theory and Machine Learning to Predict Life Insurance Purchase Intention in India K. Sanjay DOI 10.52783/jier.v6i1.4378  37  PDF: 25  PDF Guest Experience and Repeat Occupancy: A Review of Literature on Service Quality in Bengaluru's Star Hotels Ramesh P Karturi, Aurobindo Kiriyakere DOI 10.52783/jier.v6i1.4379  34  PDF: 26  PDF Cognitive Distortions and Suicidal Ideation in the Digital Age: A Study of Gaming-Addicted Adolescents in Tripura, India Debanjana Mukherjee, Amrita Banerjee DOI 10.52783/jier.v6i1.4383  51  PDF: 28  PDF A Conceptual Framework for Fintech’s Influence on Banking Services in Emerging Markets Anukriti Mishra, Kranti Singh, Sakshi Raghuvanshi  81  PDF: 24  PDF Analysis of Human Resource Development Schemes for MSMEs in Haryana: A Review of Government and Industry Reports Pardeep Kumar, Manoj Kumar Meet, Sanjeev Kumar, Deepak Dixit  35  PDF: 16  PDF Victimology and Restorative Justice: A Critical Appraisal of Reconciliation in Rape Jurisprudence Manu Sharma, Abhilasha Thakur  41  PDF: 20  PDF Autonomous Compliance Systems: AI, Event Streaming, and the Future of Financial Crime Prevention P S L Narasimharao Davuluri  24  PDF: 10  PDF Autonomous Data Platforms: Converging AI, MLOps, and Cloud Engineering for Digital Velangani Divya Vardhan Kumar Bandi  27  PDF: 5  PDF Impact of Hybrid Work HR Policies on Employee Productivity in IT Sector Naina Salve, Vishal Dilip Chavan  56  PDF: 42  PDF Persistent Privacy and Data Security Concerns in the Context of Applicable Laws Siddharth Baskar, Vaasawa Sharma  22  PDF: 5  PDF Impact of Human Resource Training and Development Programs on Supply Chain Integration and Coordination D. C. Agrawal, Saumya Gupta, Ankit Bhati  35  PDF: 9  PDF Antecedents of Patient Satisfaction and Patient Loyalty in the Medical Tourism sector in Kerala, India. Mercy Toni, Jithina KK, Thomas KV, Tess Toni DOI 10.52783/jier.v6i1.4399  47  PDF: 21  PDF Competency Mapping to assess the Employability Readiness of Engineering Students in the Higher Education Institutions (HEIs) Anant Bhardwaj, Pankhuri Agarwal DOI 10.52783/jier.v6i1.4400  68  PDF: 30  PDF Moving Forward Through a Realistic Method of Constructive Conflict Transformation: Enabling People Through Mapping Their Psychological Capital M.Kousalyadevi  33  PDF: 16  PDF Sustainable Enterprises and Green Marketing Alignment: Pathways to Competitive Advantage Tenzin Choephel, Sumithra Sreenath, Shreya Madali  36  PDF: 13  PDF Blueprint for Derivative Excellence: Frameworks that Reduce Corporate Vulnerability in Market Turbulence Vibhum Bansal, Preeti Sharma, Vijay Kumar Jain  33  PDF: 47  PDF Customers’ Perceptions Toward Organised Retailing: An Analytical Study of Selected Cities in Odisha Pratap Kumar Pati, Umakanta Dash DOI 10.52783/jier.v6i1.4408  37  PDF: 11  PDF Gemini Program and Arabic Language Teaching: An Analytical Study Khadidja Kelatma, Amel May, Abdelkader Makhlouf, Ahmed Makhlouf  28  PDF: 6  PDF Assessment of Executive Functions (Inhibition and Cognitive Flexibility) in Children with Dyslexia Belkadi Nehed  15  PDF: 3  PDF Impact of Competitive Aggressiveness, Autonomy on Business Performance, and Proactiveness in selected MSMEs in Uttar Pradesh Asmita Singh, Raveesh Kumar Maurya DOI 10.52783/jier.v6i1.4412  34  PDF: 12  PDF Designing and Implementing Automated Systems for the Evaluation of Linguistic Competences Bedraoui Noura  19  PDF: 14  PDF Family Electronic Addiction as a Gateway to Family Silence: An Analytical Study Lassoued Manal, Chabbi Amina, Bouti Chahrazad  24  PDF: 10  PDF Artificial Intelligence in Indian- Higher Education in the 21st Century Sidam.Madhuar DOI 10.52783/jier.v6i1.4415  130  PDF: 67  PDF Innovating Sustainability: Transformative Pathways for Inclusive and Resilient Agricultural Development in Telangana State L Narsimlu DOI 10.52783/jier.v6i1.4416  28  PDF: 15  PDF Technological Diffusion And Sustainable Livelihoods In Scheduled Areas Of Telangana: Empirical Insights From Itda Bhadrachalam And Eturnagaram Ravikumar Sandra DOI 10.52783/jier.v6i1.4417  37  PDF: 12  PDF Artificial Intelligence-Driven Innovation In Higher Education System In India Shabana, R. A. Siddique, Rupam Sinha, Shoaib Ansari, Mohammad Shareef DOI 10.52783/jier.v6i1.4418  65  PDF: 34  PDF Monetary Policy and Digital Innovation as Catalysts for Sustainable Economic and Environmental Transformation in Oman’s Vision 2040 Umar Ali Khan, Vipin Jain DOI 10.52783/jier.v6i1.4419  35  PDF: 9  PDF The Mediating Role Of Intellectual Capital Disclosure Between Corporate Governance Attributes And Firm Value Yusaf Harun K, V Kavida, Mohamed Ali Kuniparambil DOI 10.52783/jier.v6i1.4420  41  PDF: 0  PDF Sustainability Between Reality and Illusion: Greenwashing practices in the Case of H&amp;amp;M Merraka Amel, Soltane Karima, Touil Yassemina, Ammari Samir  122  PDF: 82  PDF Examining the Effects of Self-Help Groups on Rural Women in the Context of Empowerment Dynamics and Sustainable Development Sanghamitra Behera, Puspalata Mahapatra DOI 10.52783/jier.v6i1.4426  40  PDF: 20  PDF Role of Forensic Accounting in Fraud Detection: Perception of Chartered Accountants in Ahmedabad Shah Mona Pravin Kumar, Marzun Jokhi  66  PDF: 17  PDF Evaluating the Role of Block chain in Modernizing the Indian Banking Infrastructure Vora Nidhi Shaileshbhai, Shreeda Shah  47  PDF: 20  PDF From Demo to Decision: How Clinical Demonstrations Influence Medical Device Purchase Outcomes in South India R. Prabusankar, H. Premkumar  26  PDF: 12  PDF An Empirical Structural Equation Modeling Approach Integrating FinTech, Artificial Intelligence, Blockchain, and Clean Technology Parul Tandan, Susmita Sarkar, Sunit Lakra, Damanti Mawrie DOI 10.52783/jier.v6i1.4430  62  PDF: 66  PDF A Study of Media Narratives on Odisha’s Role in Revitalizing Indian Hockey Utkalika Priyadarshini, Mehak Jonjua, Shishir Kumar Singh DOI 10.52783/jier.v6i1.4431  74  PDF: 21  PDF A Study of Influencing Factors in Health Insurance Policy Decision Making Among Consumers Deepali Garge DOI 10.52783/jier.v6i1.4432  63  PDF: 27  PDF Impact of Social Media Journalism on Public Opinion during Indian Elections Kanaparthi Pavani, K Rakesh DOI 10.52783/jier.v6i1.4435  99  PDF: 53  PDF An Investigation into the Relationship between Children's Feeding Habits and Their Nutritional Status (6–23 Months) In Rajasthan Goutam Sadhu  27  PDF: 11  PDF The Future of Justice: Navigating AI’s Ethical and Legal Maze In India’s Criminal Justice System Kritika Goyal, Shreya  64  PDF: 29  PDF Key Drivers for the Growth and Success of Fintech Companies with Reference to Bangalore Anita Rajendran, Y.Venkata Rangaiah DOI 10.52783/jier.v6i1.4439  46  PDF: 20  PDF Industry 4.0 Technologies In Education: Fostering Lifelong Learning And Addressing Student Diversity Devika S, Bhuwan Gupta, Sunil Jagannath Ghadge, Keshav Chandrakant Arote, Suman Lata, H. L. Khatri DOI 10.52783/jier.v5i4.4442  25  PDF: 18  PDF Sustainable Management and Development of Religious Tourism in Ramayana Circuit of Uttar Pradesh Satyendr Kumar Chaudhari, Anshima Srivastava  40  PDF: 11  PDF Does Emotional Intelligence Shape Team Success? An Empirical Study of Emotional Intelligence, Team Processes, and Academic Performance in Collaborative Learning Environments Mr. Rahul H. , Dr. Anil Dongre  30  PDF: 9  PDF Carbon-Aware Resource Management in Cloud, Edge, and AI Platforms: A Comprehensive Survey Bhavya N, R.K. Bharathi  72  PDF: 22  PDF Building High-Performance Cross-Cultural Teams: Hr Innovation Strategies For Globalized Hotel Operations Muralidharan, Preetha Rajendran DOI 10.52783/jier.v6i1.4452  34  PDF: 12  PDF Human–AI Collaboration in Financial Decision-Making: A Comprehensive Bibliometric Analysis (2015–2025) Sharda Kumari DOI 10.52783/jier.v6i1.4453  81  PDF: 23  PDF Between Gods and Ghosts: Gothic Resonances in Kavita Kane’s Mythological Narratives Abhishek Godara, Priyanka Yadav  23  PDF: 13  PDF Understanding Classroom Engagement through Teacher Practices for Learners with ADHD: A study of Indian School Students Manleen Kaur, Rekha Kaushal DOI 10.52783/jier.v6i1.4460  73  PDF: 19  PDF Exploring The Key Antecedents of Burnout in Women Police: An Interpretative Structural Modeling Approach Hiremath V.M.R, H. R. Ganesha DOI 10.52783/jier.v6i1.4461  50  PDF: 19  PDF Examining Hospitality Workforce Job Stress on Work Performance and Job Outcomes mediated by Emotional Labour Srividya Vedasnata, Dr. Sumita Mishra, Dr. Sarat Kumar Mishra DOI 10.52783/jier.v6i1.4462  46  PDF: 10  PDF Investment Behaviour and Financial Decision-Making of Engineering Faculty: A Behavioural and Analytical Approach Naveen Kumar T S, Dr. Sureshramana Mayya DOI 10.52783/jier.v6i1.4464  66  PDF: 15  PDF A Comparative Study of the Effect of Gst Exemption on Health Insurance Penetration and Financial Inclusion in India Devendra D. Singh, Alpesh Mehta DOI 10.52783/jier.v6i1.4465  60  PDF: 18  PDF Role of Hr Policies in Managing Moonlighting and Organisational Commitment in the it Sector in India Ria Rajesh Parwani, Tejashree Deshmukh DOI 10.52783/jier.v6i1.4466  33  PDF: 10  PDF Augmenting Regulatory Intelligence: How Ai-Driven Behavioral Analytics Can Inform Sebi’s Oversight Framework in the Age of Algorithmic Trading and Retail Investor Proliferation Jeevan Thombare DOI 10.52783/jier.v6i1.4467  71  PDF: 17  PDF Faceless Assessment Under the Indian Income-Tax Regime: A Taxpayer-Centric Perspective on Approaches, Challenges and Solutions Umesh Suresh Kolapkar, Tejashree Deshmukh DOI 10.52783/jier.v6i1.4468  86  PDF: 21  PDF Interface of Human Intelligence and Artificial Intelligence: Possibilities and Challenges for the Indian Legal Educational Framework Sukdeo Ingale DOI 10.52783/jier.v6i1.4469  42  PDF: 17  PDF Invisible Battles in the Classroom: How Teachers Identify and Respond to Silent Mental Health Issues in Indian Youth Elizabeth Dias, Kinnarie Singh DOI 10.52783/jier.v6i1.4470  33  PDF: 12  PDF Ludic Narrative Structure and Character Formation in Susanna Clare’s Piranesi K. Priyadharshini, K. Shantichitra DOI 10.52783/jier.v6i1.4471  35  PDF: 14  PDF Generative AI and the Microfoundations of Dynamic Human Resource Capabilities: A Conceptual Framework Integrating HR Analytics and Leadership Agility Yazid Bensaoucha, Youness Haouassi, Mounir Azouz, Fateh Zaiter DOI 10.52783/jier.v6i1.4475  58  PDF: 15  PDF A Comprehensive review of Renewable-Integrated Optimization Models for Sustainable Airport Operations Vasuki G DOI 10.52783/jier.v6i1.4476  15  PDF: 5  PDF Compensation Rights of Crime Victims in Nepal: A Victimological Study of Murder Victims in Morang District KoshrajNeupane, Debarati Halder, Jivesh Jha DOI 10.52783/jier.v6i1.4478  40  PDF: 10  PDF “BRIDGING Vision Realisation Strategic Planning with Employee Optimization Outcomes and Engagement PERSPECTIVE” R. Rangarajan, Neelavathy V DOI 10.52783/jier.v6i1.4479  33  PDF: 7  PDF Neuroimaging and Learning Opportunities: Advancing Sustainable Development Goals for Blind Children Anirudh Chinta DOI 10.52783/jier.v6i1.4480  21  PDF: 10  PDF From Access to Agency: Financial Inclusion as a Catalyst for Socioeconomic Mobility in Emerging Markets Ganesh, Subbarayudu Thunga DOI 10.52783/jier.v6i1.4482  43  PDF: 21  PDF A Study of Engagement Trust and Interaction in the Era of Digital Transformation and Customer Distance in Life Insurance Services Sathya Prakash Urs S N, Mohammed Mansoor Ahmed Pillai  6  PDF: 4  PDF Microfinance and Enterprise Empowerment: A Regional Study of Entrepreneurial Advancement in Chhattisgarh Shilpi Yadav, Priyanka Bagh  4  PDF: 1  PDF Accuracy And Risk: Drivers Of Strategic Trading Decisions Naresh1, Ankur Aggarwal DOI 10.52783/jier.v6i1.4492  8  PDF: 3  PDF Beyond the Loop: A Tripartite typology of human-machine collaboration. Sagar Patil, Suneel Sharma, Mehregan Mahdavi DOI 10.52783/jier.v6i1.4493  15  PDF: 8  PDF Unlocking Digital Financial Inclusion on Economic Growth: Cross-country study using panel data Nigama K, Selvabaskar S, Haritha K, Sekarini S DOI 10.52783/jier.v6i1.4494  10  PDF: 4  PDF Bridging the Last Mile: The Battle Against UPI Fr</t>
        </is>
      </c>
      <c r="L143" t="inlineStr">
        <is>
          <t>Journal of Informatics Education and Research</t>
        </is>
      </c>
      <c r="M143" t="n">
        <v>2026</v>
      </c>
      <c r="N143" t="inlineStr">
        <is>
          <t>10.52783/jier.v6i1.4539</t>
        </is>
      </c>
      <c r="O143" t="inlineStr">
        <is>
          <t>NO</t>
        </is>
      </c>
      <c r="P143" s="3" t="n"/>
    </row>
    <row r="144" ht="42" customHeight="1">
      <c r="A144" t="inlineStr">
        <is>
          <t>V143</t>
        </is>
      </c>
      <c r="B144" t="inlineStr">
        <is>
          <t>2016</t>
        </is>
      </c>
      <c r="C144" t="inlineStr">
        <is>
          <t>NeurIPS_2016</t>
        </is>
      </c>
      <c r="D144" t="inlineStr">
        <is>
          <t>2b0f658cbffd284984fb11d90254081f-Paper.pdf</t>
        </is>
      </c>
      <c r="E144" s="2" t="inlineStr">
        <is>
          <t>M. Lucic, O. Bachem, and A. Krause. Strong Coresets for Hard and Soft Bregman Clustering with Applications to Exponential Family Mixtures. In International Conference on Artiﬁcial Intelligence and Statistics, 2016.</t>
        </is>
      </c>
      <c r="F144">
        <f>HYPERLINK("https://scholar.google.com/scholar?q=M.+Lucic%2C+O.+Bachem%2C+and+A.+Krause.+Strong+Coresets+for+Hard+and+Soft+Bregman+Clustering+with+Applications+to+Exponentia","search")</f>
        <v/>
      </c>
      <c r="G144" s="3" t="n"/>
      <c r="H144" s="3" t="n"/>
      <c r="I144" s="3" t="n"/>
      <c r="J144" s="3" t="n"/>
      <c r="K144" t="inlineStr">
        <is>
          <t>Scalable k -Means Clustering via Lightweight Coresets</t>
        </is>
      </c>
      <c r="L144" t="inlineStr">
        <is>
          <t>Proceedings of the 24th ACM SIGKDD International Conference on Knowledge Discovery &amp;amp; Data Mining</t>
        </is>
      </c>
      <c r="M144" t="n">
        <v>2018</v>
      </c>
      <c r="N144" t="inlineStr">
        <is>
          <t>10.1145/3219819.3219973</t>
        </is>
      </c>
      <c r="O144" t="inlineStr">
        <is>
          <t>NO</t>
        </is>
      </c>
      <c r="P144" s="3" t="n"/>
    </row>
    <row r="145" ht="42" customHeight="1">
      <c r="A145" t="inlineStr">
        <is>
          <t>V144</t>
        </is>
      </c>
      <c r="B145" t="inlineStr">
        <is>
          <t>2025</t>
        </is>
      </c>
      <c r="C145" t="inlineStr">
        <is>
          <t>Arxiv_CS_2025</t>
        </is>
      </c>
      <c r="D145" t="inlineStr">
        <is>
          <t>2501.09858v1.pdf</t>
        </is>
      </c>
      <c r="E145" s="2" t="inlineStr">
        <is>
          <t>Henderson, P.; Islam, R.; Bachman, P.; Pineau, J.; Precup, D.; and Meger, D. 2018. Deep reinforcement learning that matters. In Proceedings of the AAAI conference on artificial intelligence, volume 32. Huang, S. H.; Bhatia, K.; Abbeel, P.; and Dragan, A. D.</t>
        </is>
      </c>
      <c r="F145">
        <f>HYPERLINK("https://scholar.google.com/scholar?q=Henderson%2C+P.%3B+Islam%2C+R.%3B+Bachman%2C+P.%3B+Pineau%2C+J.%3B+Precup%2C+D.%3B+and+Meger%2C+D.+2018.+Deep+reinforcement+learning+that+matt","search")</f>
        <v/>
      </c>
      <c r="G145" s="3" t="n"/>
      <c r="H145" s="3" t="n"/>
      <c r="I145" s="3" t="n"/>
      <c r="J145" s="3" t="n"/>
      <c r="K145" t="inlineStr">
        <is>
          <t>Deep Reinforcement Learning That Matters</t>
        </is>
      </c>
      <c r="L145" t="inlineStr">
        <is>
          <t>Proceedings of the AAAI Conference on Artificial Intelligence</t>
        </is>
      </c>
      <c r="M145" t="n">
        <v>2018</v>
      </c>
      <c r="N145" t="inlineStr">
        <is>
          <t>10.1609/aaai.v32i1.11694</t>
        </is>
      </c>
      <c r="O145" t="inlineStr">
        <is>
          <t>NO</t>
        </is>
      </c>
      <c r="P145" s="3" t="n"/>
    </row>
    <row r="146" ht="42" customHeight="1">
      <c r="A146" t="inlineStr">
        <is>
          <t>V145</t>
        </is>
      </c>
      <c r="B146" t="inlineStr">
        <is>
          <t>2025</t>
        </is>
      </c>
      <c r="C146" t="inlineStr">
        <is>
          <t>Arxiv_CS_2025</t>
        </is>
      </c>
      <c r="D146" t="inlineStr">
        <is>
          <t>2503.20394v1.pdf</t>
        </is>
      </c>
      <c r="E146" s="2" t="inlineStr">
        <is>
          <t>M. Liu, C. Guo, and L. Xu, “An interpretable automated feature engineering framework for improving logistic regression,” Applied Soft Computing, vol. 153, p. 111269, 2024.</t>
        </is>
      </c>
      <c r="F146">
        <f>HYPERLINK("https://scholar.google.com/scholar?q=M.+Liu%2C+C.+Guo%2C+and+L.+Xu%2C+%E2%80%9CAn+interpretable+automated+feature+engineering+framework+for+improving+logistic+regression%2C%E2%80%9D","search")</f>
        <v/>
      </c>
      <c r="G146" s="3" t="n"/>
      <c r="H146" s="3" t="n"/>
      <c r="I146" s="3" t="n"/>
      <c r="J146" s="3" t="n"/>
      <c r="K146" t="inlineStr">
        <is>
          <t>An interpretable automated feature engineering framework for improving logistic regression</t>
        </is>
      </c>
      <c r="L146" t="inlineStr">
        <is>
          <t>Applied Soft Computing</t>
        </is>
      </c>
      <c r="M146" t="n">
        <v>2024</v>
      </c>
      <c r="N146" t="inlineStr">
        <is>
          <t>10.1016/j.asoc.2024.111269</t>
        </is>
      </c>
      <c r="O146" t="inlineStr">
        <is>
          <t>NO</t>
        </is>
      </c>
      <c r="P146" s="3" t="n"/>
    </row>
    <row r="147" ht="42" customHeight="1">
      <c r="A147" t="inlineStr">
        <is>
          <t>V146</t>
        </is>
      </c>
      <c r="B147" t="inlineStr">
        <is>
          <t>2023</t>
        </is>
      </c>
      <c r="C147" t="inlineStr">
        <is>
          <t>Arxiv_Bio_2023</t>
        </is>
      </c>
      <c r="D147" t="inlineStr">
        <is>
          <t>2307.04397v1.pdf</t>
        </is>
      </c>
      <c r="E147" s="2" t="inlineStr">
        <is>
          <t>Mathieu Hemery, François Fages, and Sylvain Soliman. On the complexity of quadratization for polynomial differential equations. In CMSB’20: Proceedings of the eighteenth international conference on Computational Methods in Systems Biology, Lecture Notes in BioInformatics. Springer-Verlag, September 2020. 18</t>
        </is>
      </c>
      <c r="F147">
        <f>HYPERLINK("https://scholar.google.com/scholar?q=Mathieu+Hemery%2C+Fran%C3%A7ois+Fages%2C+and+Sylvain+Soliman.+On+the+complexity+of+quadratization+for+polynomial+differential+equ","search")</f>
        <v/>
      </c>
      <c r="G147" s="3" t="n"/>
      <c r="H147" s="3" t="n"/>
      <c r="I147" s="3" t="n"/>
      <c r="J147" s="3" t="n"/>
      <c r="K147" t="inlineStr">
        <is>
          <t>On the Complexity of Quadratization for Polynomial Differential Equations</t>
        </is>
      </c>
      <c r="L147" t="inlineStr">
        <is>
          <t>Lecture Notes in Computer Science</t>
        </is>
      </c>
      <c r="M147" t="n">
        <v>2020</v>
      </c>
      <c r="N147" t="inlineStr">
        <is>
          <t>10.1007/978-3-030-60327-4_7</t>
        </is>
      </c>
      <c r="O147" t="inlineStr">
        <is>
          <t>NO</t>
        </is>
      </c>
      <c r="P147" s="3" t="n"/>
    </row>
    <row r="148" ht="42" customHeight="1">
      <c r="A148" t="inlineStr">
        <is>
          <t>V147</t>
        </is>
      </c>
      <c r="B148" t="inlineStr">
        <is>
          <t>2025</t>
        </is>
      </c>
      <c r="C148" t="inlineStr">
        <is>
          <t>Arxiv_CS_2025</t>
        </is>
      </c>
      <c r="D148" t="inlineStr">
        <is>
          <t>2501.15648v1.pdf</t>
        </is>
      </c>
      <c r="E148" s="2" t="inlineStr">
        <is>
          <t>Wen Liu, Zhixin Piao, Jie Min, Wenhan Luo, Lin Ma, and Shenghua Gao. Liquid warping GAN: A unified frame- work for human motion imitation, appearance transfer and novel view synthesis. In Proceedings of the IEEE/CVF inter- national conference on computer vision, pages 5904–5913,</t>
        </is>
      </c>
      <c r="F148">
        <f>HYPERLINK("https://scholar.google.com/scholar?q=Wen+Liu%2C+Zhixin+Piao%2C+Jie+Min%2C+Wenhan+Luo%2C+Lin+Ma%2C+and+Shenghua+Gao.+Liquid+warping+GAN%3A+A+unified+frame-+work+for+human","search")</f>
        <v/>
      </c>
      <c r="G148" s="3" t="n"/>
      <c r="H148" s="3" t="n"/>
      <c r="I148" s="3" t="n"/>
      <c r="J148" s="3" t="n"/>
      <c r="K148" t="inlineStr">
        <is>
          <t>Liquid Warping GAN: A Unified Framework for Human Motion Imitation, Appearance Transfer and Novel View Synthesis</t>
        </is>
      </c>
      <c r="L148" t="inlineStr">
        <is>
          <t>2019 IEEE/CVF International Conference on Computer Vision (ICCV)</t>
        </is>
      </c>
      <c r="M148" t="n">
        <v>2019</v>
      </c>
      <c r="N148" t="inlineStr">
        <is>
          <t>10.1109/iccv.2019.00600</t>
        </is>
      </c>
      <c r="O148" t="inlineStr">
        <is>
          <t>NO</t>
        </is>
      </c>
      <c r="P148" s="3" t="n"/>
    </row>
    <row r="149" ht="42" customHeight="1">
      <c r="A149" t="inlineStr">
        <is>
          <t>V148</t>
        </is>
      </c>
      <c r="B149" t="inlineStr">
        <is>
          <t>2016</t>
        </is>
      </c>
      <c r="C149" t="inlineStr">
        <is>
          <t>NeurIPS_2016</t>
        </is>
      </c>
      <c r="D149" t="inlineStr">
        <is>
          <t>2cad8fa47bbef282badbb8de5374b894-Paper.pdf</t>
        </is>
      </c>
      <c r="E149" s="2" t="inlineStr">
        <is>
          <t>S. D. Dunn, L. M. Wahl, and G. B. Gloor. Mutual information without the inﬂuence of phylogeny or entropy dramatically improves residue contact prediction. Bioinformatics, 24(3):333–340, 2008.</t>
        </is>
      </c>
      <c r="F149">
        <f>HYPERLINK("https://scholar.google.com/scholar?q=S.+D.+Dunn%2C+L.+M.+Wahl%2C+and+G.+B.+Gloor.+Mutual+information+without+the+in%EF%AC%82uence+of+phylogeny+or+entropy+dramatically+im","search")</f>
        <v/>
      </c>
      <c r="G149" s="3" t="n"/>
      <c r="H149" s="3" t="n"/>
      <c r="I149" s="3" t="n"/>
      <c r="J149" s="3" t="n"/>
      <c r="K149" t="inlineStr">
        <is>
          <t>Mutual information without the influence of phylogeny or entropy dramatically improves residue contact prediction</t>
        </is>
      </c>
      <c r="L149" t="inlineStr">
        <is>
          <t>Bioinformatics</t>
        </is>
      </c>
      <c r="M149" t="n">
        <v>2007</v>
      </c>
      <c r="N149" t="inlineStr">
        <is>
          <t>10.1093/bioinformatics/btm604</t>
        </is>
      </c>
      <c r="O149" t="inlineStr">
        <is>
          <t>NO</t>
        </is>
      </c>
      <c r="P149" s="3" t="n"/>
    </row>
    <row r="150" ht="42" customHeight="1">
      <c r="A150" t="inlineStr">
        <is>
          <t>V149</t>
        </is>
      </c>
      <c r="B150" t="inlineStr">
        <is>
          <t>2016</t>
        </is>
      </c>
      <c r="C150" t="inlineStr">
        <is>
          <t>Arxiv_CS_2016</t>
        </is>
      </c>
      <c r="D150" t="inlineStr">
        <is>
          <t>1612.02795v1.pdf</t>
        </is>
      </c>
      <c r="E150" s="2" t="inlineStr">
        <is>
          <t>L. Chen and C. Englund, “Cooperative intersection management: A sur- vey,” IEEE Transactions on Intelligent Transportation Systems, vol. 17, no. 2, pp. 570–586, Feb 2016.</t>
        </is>
      </c>
      <c r="F150">
        <f>HYPERLINK("https://scholar.google.com/scholar?q=L.+Chen+and+C.+Englund%2C+%E2%80%9CCooperative+intersection+management%3A+A+sur-+vey%2C%E2%80%9D+IEEE+Transactions+on+Intelligent+Transportati","search")</f>
        <v/>
      </c>
      <c r="G150" s="3" t="n"/>
      <c r="H150" s="3" t="n"/>
      <c r="I150" s="3" t="n"/>
      <c r="J150" s="3" t="n"/>
      <c r="K150" t="inlineStr">
        <is>
          <t>Cooperative Intersection Management: A Survey</t>
        </is>
      </c>
      <c r="L150" t="inlineStr">
        <is>
          <t>IEEE Transactions on Intelligent Transportation Systems</t>
        </is>
      </c>
      <c r="M150" t="n">
        <v>2016</v>
      </c>
      <c r="N150" t="inlineStr">
        <is>
          <t>10.1109/tits.2015.2471812</t>
        </is>
      </c>
      <c r="O150" t="inlineStr">
        <is>
          <t>NO</t>
        </is>
      </c>
      <c r="P150" s="3" t="n"/>
    </row>
    <row r="151" ht="42" customHeight="1">
      <c r="A151" t="inlineStr">
        <is>
          <t>V150</t>
        </is>
      </c>
      <c r="B151" t="inlineStr">
        <is>
          <t>2026</t>
        </is>
      </c>
      <c r="C151" t="inlineStr">
        <is>
          <t>Arxiv_General_Latest</t>
        </is>
      </c>
      <c r="D151" t="inlineStr">
        <is>
          <t>2603.28128v2.pdf</t>
        </is>
      </c>
      <c r="E151" s="2" t="inlineStr">
        <is>
          <t>Chuangtao Ma, Zeyu Zhang, Arijit Khan, Sebastian Schelter, and Paul Groth. Cost-efficient rag for entity matching with llms: A blocking-based exploration. arXiv preprint arXiv:2602.05708, 2026.</t>
        </is>
      </c>
      <c r="F151">
        <f>HYPERLINK("https://scholar.google.com/scholar?q=Chuangtao+Ma%2C+Zeyu+Zhang%2C+Arijit+Khan%2C+Sebastian+Schelter%2C+and+Paul+Groth.+Cost-efficient+rag+for+entity+matching+with+l","search")</f>
        <v/>
      </c>
      <c r="G151" s="3" t="n"/>
      <c r="H151" s="3" t="n"/>
      <c r="I151" s="3" t="n"/>
      <c r="J151" s="3" t="n"/>
      <c r="K151" t="inlineStr">
        <is>
          <t>1. S. Mustofa et al., “A Comprehensive Review on Plant Leaf Disease Detection using Deep Learning,” arXiv preprint, 2023. 2. H. Rehana et al., “Plant Disease Detection using Region-Based Convolutional Neural Network,” arXiv preprint, 2023. 3. Y. Zhang et</t>
        </is>
      </c>
      <c r="L151" t="inlineStr">
        <is>
          <t>International Journal of Engineering &amp;amp; Extended Technologies Research</t>
        </is>
      </c>
      <c r="M151" t="n">
        <v>2026</v>
      </c>
      <c r="N151" t="inlineStr">
        <is>
          <t>10.15662/ijeetr.2026.0802388</t>
        </is>
      </c>
      <c r="O151" t="inlineStr">
        <is>
          <t>NO</t>
        </is>
      </c>
      <c r="P151" s="3" t="n"/>
    </row>
    <row r="152" ht="42" customHeight="1">
      <c r="A152" t="inlineStr">
        <is>
          <t>V151</t>
        </is>
      </c>
      <c r="B152" t="inlineStr">
        <is>
          <t>2023</t>
        </is>
      </c>
      <c r="C152" t="inlineStr">
        <is>
          <t>Arxiv_CS_2023</t>
        </is>
      </c>
      <c r="D152" t="inlineStr">
        <is>
          <t>2311.10747v3.pdf</t>
        </is>
      </c>
      <c r="E152" s="2" t="inlineStr">
        <is>
          <t>L. Li, T. J. Walsh, and M. L. Littman, “Towards a unified theory of state abstraction for mdps.” in AI&amp;M, 2006.</t>
        </is>
      </c>
      <c r="F152">
        <f>HYPERLINK("https://scholar.google.com/scholar?q=L.+Li%2C+T.+J.+Walsh%2C+and+M.+L.+Littman%2C+%E2%80%9CTowards+a+unified+theory+of+state+abstraction+for+mdps.%E2%80%9D+in+AI%26M%2C+2006.","search")</f>
        <v/>
      </c>
      <c r="G152" s="3" t="n"/>
      <c r="H152" s="3" t="n"/>
      <c r="I152" s="3" t="n"/>
      <c r="J152" s="3" t="n"/>
      <c r="K152" t="inlineStr">
        <is>
          <t>Towards a Unified Theory</t>
        </is>
      </c>
      <c r="L152" t="inlineStr">
        <is>
          <t>Oxford Scholarship Online</t>
        </is>
      </c>
      <c r="M152" t="n">
        <v>2017</v>
      </c>
      <c r="N152" t="inlineStr">
        <is>
          <t>10.1093/oso/9780198778608.003.0023</t>
        </is>
      </c>
      <c r="O152" t="inlineStr">
        <is>
          <t>NO</t>
        </is>
      </c>
      <c r="P152" s="3" t="n"/>
    </row>
    <row r="153" ht="42" customHeight="1">
      <c r="A153" t="inlineStr">
        <is>
          <t>V152</t>
        </is>
      </c>
      <c r="B153" t="inlineStr">
        <is>
          <t>2026</t>
        </is>
      </c>
      <c r="C153" t="inlineStr">
        <is>
          <t>Arxiv_General_Latest</t>
        </is>
      </c>
      <c r="D153" t="inlineStr">
        <is>
          <t>2603.01210v3.pdf</t>
        </is>
      </c>
      <c r="E153" s="2" t="inlineStr">
        <is>
          <t>Lyons B. C., McClenaghan J., Slendebroek T. et al. 2023 Physics of Plasmas 30 092510</t>
        </is>
      </c>
      <c r="F153">
        <f>HYPERLINK("https://scholar.google.com/scholar?q=Lyons+B.+C.%2C+McClenaghan+J.%2C+Slendebroek+T.+et+al.+2023+Physics+of+Plasmas+30+092510","search")</f>
        <v/>
      </c>
      <c r="G153" s="3" t="n"/>
      <c r="H153" s="3" t="n"/>
      <c r="I153" s="3" t="n"/>
      <c r="J153" s="3" t="n"/>
      <c r="K153" t="inlineStr">
        <is>
          <t>Elevating zero dimensional global scaling predictions to self-consistent theory-based simulations</t>
        </is>
      </c>
      <c r="L153" t="inlineStr">
        <is>
          <t>Physics of Plasmas</t>
        </is>
      </c>
      <c r="M153" t="n">
        <v>2023</v>
      </c>
      <c r="N153" t="inlineStr">
        <is>
          <t>10.1063/5.0148886</t>
        </is>
      </c>
      <c r="O153" t="inlineStr">
        <is>
          <t>YES</t>
        </is>
      </c>
      <c r="P153" s="3" t="n"/>
    </row>
    <row r="154" ht="42" customHeight="1">
      <c r="A154" t="inlineStr">
        <is>
          <t>V153</t>
        </is>
      </c>
      <c r="B154" t="inlineStr">
        <is>
          <t>2016</t>
        </is>
      </c>
      <c r="C154" t="inlineStr">
        <is>
          <t>Arxiv_CS_2016</t>
        </is>
      </c>
      <c r="D154" t="inlineStr">
        <is>
          <t>1609.04337v2.pdf</t>
        </is>
      </c>
      <c r="E154" s="2" t="inlineStr">
        <is>
          <t>D. Scharstein, Matching images by comparing their gradient ﬁelds, Pro- ceedings of 12th International Conference on Pattern Recognition 1 (1994) 4–7.</t>
        </is>
      </c>
      <c r="F154">
        <f>HYPERLINK("https://scholar.google.com/scholar?q=D.+Scharstein%2C+Matching+images+by+comparing+their+gradient+%EF%AC%81elds%2C+Pro-+ceedings+of+12th+International+Conference+on+Patt","search")</f>
        <v/>
      </c>
      <c r="G154" s="3" t="n"/>
      <c r="H154" s="3" t="n"/>
      <c r="I154" s="3" t="n"/>
      <c r="J154" s="3" t="n"/>
      <c r="K154" t="inlineStr">
        <is>
          <t>Matching images by comparing their gradient fields</t>
        </is>
      </c>
      <c r="L154" t="inlineStr">
        <is>
          <t>Proceedings of 12th International Conference on Pattern Recognition</t>
        </is>
      </c>
      <c r="M154" t="n">
        <v/>
      </c>
      <c r="N154" t="inlineStr">
        <is>
          <t>10.1109/icpr.1994.576363</t>
        </is>
      </c>
      <c r="O154" t="inlineStr">
        <is>
          <t>NO</t>
        </is>
      </c>
      <c r="P154" s="3" t="n"/>
    </row>
    <row r="155" ht="42" customHeight="1">
      <c r="A155" t="inlineStr">
        <is>
          <t>V154</t>
        </is>
      </c>
      <c r="B155" t="inlineStr">
        <is>
          <t>2016</t>
        </is>
      </c>
      <c r="C155" t="inlineStr">
        <is>
          <t>Arxiv_CS_2016</t>
        </is>
      </c>
      <c r="D155" t="inlineStr">
        <is>
          <t>1607.06759v1.pdf</t>
        </is>
      </c>
      <c r="E155" s="2" t="inlineStr">
        <is>
          <t>J. Gratch and S. Marsella. A Domain-independent Framework for Modeling Emotion. Journal  of Cognitive Systems Research, 5(4):269-306, 2004</t>
        </is>
      </c>
      <c r="F155">
        <f>HYPERLINK("https://scholar.google.com/scholar?q=J.+Gratch+and+S.+Marsella.+A+Domain-independent+Framework+for+Modeling+Emotion.+Journal++of+Cognitive+Systems+Research%2C+","search")</f>
        <v/>
      </c>
      <c r="G155" s="3" t="n"/>
      <c r="H155" s="3" t="n"/>
      <c r="I155" s="3" t="n"/>
      <c r="J155" s="3" t="n"/>
      <c r="K155" t="inlineStr">
        <is>
          <t>A domain-independent framework for modeling emotion</t>
        </is>
      </c>
      <c r="L155" t="inlineStr">
        <is>
          <t>Cognitive Systems Research</t>
        </is>
      </c>
      <c r="M155" t="n">
        <v>2004</v>
      </c>
      <c r="N155" t="inlineStr">
        <is>
          <t>10.1016/j.cogsys.2004.02.002</t>
        </is>
      </c>
      <c r="O155" t="inlineStr">
        <is>
          <t>YES</t>
        </is>
      </c>
      <c r="P155" s="3" t="n"/>
    </row>
    <row r="156" ht="42" customHeight="1">
      <c r="A156" t="inlineStr">
        <is>
          <t>V155</t>
        </is>
      </c>
      <c r="B156" t="inlineStr">
        <is>
          <t>2023</t>
        </is>
      </c>
      <c r="C156" t="inlineStr">
        <is>
          <t>NeurIPS_2023</t>
        </is>
      </c>
      <c r="D156" t="inlineStr">
        <is>
          <t>0113ef4642264adc2e6924a3cbbdf532-Paper-Conference.pdf</t>
        </is>
      </c>
      <c r="E156" s="2" t="inlineStr">
        <is>
          <t>Robert Geirhos, Patricia Rubisch, Claudio Michaelis, Matthias Bethge, Felix A Wichmann, and Wieland Brendel. Imagenet-trained cnns are biased towards texture; increasing shape bias improves accuracy and robustness. arXiv preprint arXiv:1811.12231, 2018.</t>
        </is>
      </c>
      <c r="F156">
        <f>HYPERLINK("https://scholar.google.com/scholar?q=Robert+Geirhos%2C+Patricia+Rubisch%2C+Claudio+Michaelis%2C+Matthias+Bethge%2C+Felix+A+Wichmann%2C+and+Wieland+Brendel.+Imagenet-tr","search")</f>
        <v/>
      </c>
      <c r="G156" s="3" t="n"/>
      <c r="H156" s="3" t="n"/>
      <c r="I156" s="3" t="n"/>
      <c r="J156" s="3" t="n"/>
      <c r="K156" t="inlineStr">
        <is>
          <t>Inducing a human-like shape bias leads to emergent human-level distortion robustness in CNNs</t>
        </is>
      </c>
      <c r="L156" t="inlineStr">
        <is>
          <t>Journal of Vision</t>
        </is>
      </c>
      <c r="M156" t="n">
        <v>2019</v>
      </c>
      <c r="N156" t="inlineStr">
        <is>
          <t>10.1167/19.10.209c</t>
        </is>
      </c>
      <c r="O156" t="inlineStr">
        <is>
          <t>NO</t>
        </is>
      </c>
      <c r="P156" s="3" t="n"/>
    </row>
    <row r="157" ht="42" customHeight="1">
      <c r="A157" t="inlineStr">
        <is>
          <t>V156</t>
        </is>
      </c>
      <c r="B157" t="inlineStr">
        <is>
          <t>2023</t>
        </is>
      </c>
      <c r="C157" t="inlineStr">
        <is>
          <t>Arxiv_Bio_2023</t>
        </is>
      </c>
      <c r="D157" t="inlineStr">
        <is>
          <t>2301.07808v1.pdf</t>
        </is>
      </c>
      <c r="E157" s="2" t="inlineStr">
        <is>
          <t>URL https://f1000research.com/articles/10-33. Type: article.</t>
        </is>
      </c>
      <c r="F157">
        <f>HYPERLINK("https://scholar.google.com/scholar?q=URL+https%3A%2F%2Ff1000research.com%2Farticles%2F10-33.+Type%3A+article.","search")</f>
        <v/>
      </c>
      <c r="G157" s="3" t="n"/>
      <c r="H157" s="3" t="n"/>
      <c r="I157" s="3" t="n"/>
      <c r="J157" s="3" t="n"/>
      <c r="K157" t="inlineStr">
        <is>
          <t>Fig. 5. Married couple Riki and Hachiro Ohara. Borrowed from URL: https://habane8.com/y/193/f.htm.</t>
        </is>
      </c>
      <c r="L157" t="n">
        <v/>
      </c>
      <c r="M157" t="n">
        <v/>
      </c>
      <c r="N157" t="inlineStr">
        <is>
          <t>10.17816/eid677915-4363932</t>
        </is>
      </c>
      <c r="O157" t="inlineStr">
        <is>
          <t>NO</t>
        </is>
      </c>
      <c r="P157" s="3" t="n"/>
    </row>
    <row r="158" ht="42" customHeight="1">
      <c r="A158" t="inlineStr">
        <is>
          <t>V157</t>
        </is>
      </c>
      <c r="B158" t="inlineStr">
        <is>
          <t>2016</t>
        </is>
      </c>
      <c r="C158" t="inlineStr">
        <is>
          <t>Arxiv_CS_2016</t>
        </is>
      </c>
      <c r="D158" t="inlineStr">
        <is>
          <t>1604.04721v1.pdf</t>
        </is>
      </c>
      <c r="E158" s="2" t="inlineStr">
        <is>
          <t>S. G. Adams, B. Laksumanage, Building successful student teams in the engineering classroom, Journal of STEM Education 4 (3) (2003) 4.</t>
        </is>
      </c>
      <c r="F158">
        <f>HYPERLINK("https://scholar.google.com/scholar?q=S.+G.+Adams%2C+B.+Laksumanage%2C+Building+successful+student+teams+in+the+engineering+classroom%2C+Journal+of+STEM+Education+4","search")</f>
        <v/>
      </c>
      <c r="G158" s="3" t="n"/>
      <c r="H158" s="3" t="n"/>
      <c r="I158" s="3" t="n"/>
      <c r="J158" s="3" t="n"/>
      <c r="K158" t="inlineStr">
        <is>
          <t>Building positive student-teacher relationships: a foundational element for successful classroom management</t>
        </is>
      </c>
      <c r="L158" t="n">
        <v/>
      </c>
      <c r="M158" t="n">
        <v/>
      </c>
      <c r="N158" t="inlineStr">
        <is>
          <t>10.17760/d20649838</t>
        </is>
      </c>
      <c r="O158" t="inlineStr">
        <is>
          <t>NO</t>
        </is>
      </c>
      <c r="P158" s="3" t="n"/>
    </row>
    <row r="159" ht="42" customHeight="1">
      <c r="A159" t="inlineStr">
        <is>
          <t>V158</t>
        </is>
      </c>
      <c r="B159" t="inlineStr">
        <is>
          <t>2026</t>
        </is>
      </c>
      <c r="C159" t="inlineStr">
        <is>
          <t>Arxiv_General_Latest</t>
        </is>
      </c>
      <c r="D159" t="inlineStr">
        <is>
          <t>2606.14669v1.pdf</t>
        </is>
      </c>
      <c r="E159" s="2" t="inlineStr">
        <is>
          <t>C. Andreopoulos et al., The GENIE Neutrino Monte Carlo Generator, Nucl. Instrum. Meth. A 614 (2010) 87 [0905.2517].</t>
        </is>
      </c>
      <c r="F159">
        <f>HYPERLINK("https://scholar.google.com/scholar?q=C.+Andreopoulos+et+al.%2C+The+GENIE+Neutrino+Monte+Carlo+Generator%2C+Nucl.+Instrum.+Meth.+A+614+%282010%29+87+%5B0905.2517%5D.","search")</f>
        <v/>
      </c>
      <c r="G159" s="3" t="n"/>
      <c r="H159" s="3" t="n"/>
      <c r="I159" s="3" t="n"/>
      <c r="J159" s="3" t="n"/>
      <c r="K159" t="inlineStr">
        <is>
          <t>The GENIE Neutrino Monte Carlo Generator: Physics and User Manual</t>
        </is>
      </c>
      <c r="L159" t="n">
        <v/>
      </c>
      <c r="M159" t="n">
        <v>2015</v>
      </c>
      <c r="N159" t="inlineStr">
        <is>
          <t>10.2172/1264018</t>
        </is>
      </c>
      <c r="O159" t="inlineStr">
        <is>
          <t>NO</t>
        </is>
      </c>
      <c r="P159" s="3" t="n"/>
    </row>
    <row r="160" ht="42" customHeight="1">
      <c r="A160" t="inlineStr">
        <is>
          <t>V159</t>
        </is>
      </c>
      <c r="B160" t="inlineStr">
        <is>
          <t>2026</t>
        </is>
      </c>
      <c r="C160" t="inlineStr">
        <is>
          <t>Arxiv_General_Latest</t>
        </is>
      </c>
      <c r="D160" t="inlineStr">
        <is>
          <t>2603.13540v1.pdf</t>
        </is>
      </c>
      <c r="E160" s="2" t="inlineStr">
        <is>
          <t>Lerendegui-Marco, J.; Guerrero, C.; Mendoza, E.; Quesada, J.M.; Eberhardt, K.; Junghans, A.R.; Krtiˇcka, M.; Aberle, O.; Andrzejewski, J.; Audouin, L.; et al. Radiative neutron capture on 242Pu in the resonance region at the CERN n_TOF-EAR1 facility. Physical Review C 2018, 97, 024605. https://doi.org/10.1103/PhysRevC.97.024605.</t>
        </is>
      </c>
      <c r="F160">
        <f>HYPERLINK("https://scholar.google.com/scholar?q=Lerendegui-Marco%2C+J.%3B+Guerrero%2C+C.%3B+Mendoza%2C+E.%3B+Quesada%2C+J.M.%3B+Eberhardt%2C+K.%3B+Junghans%2C+A.R.%3B+Krti%CB%87cka%2C+M.%3B+Aberle%2C+O.%3B","search")</f>
        <v/>
      </c>
      <c r="G160" s="3" t="n"/>
      <c r="H160" s="3" t="n"/>
      <c r="I160" s="3" t="n"/>
      <c r="J160" s="3" t="n"/>
      <c r="K160" t="inlineStr">
        <is>
          <t>Improved 242Pu(n,$ \gamma$) thermal cross section combining activation and prompt gamma analysis</t>
        </is>
      </c>
      <c r="L160" t="inlineStr">
        <is>
          <t>The European Physical Journal A</t>
        </is>
      </c>
      <c r="M160" t="n">
        <v>2019</v>
      </c>
      <c r="N160" t="inlineStr">
        <is>
          <t>10.1140/epja/i2019-12730-6</t>
        </is>
      </c>
      <c r="O160" t="inlineStr">
        <is>
          <t>NO</t>
        </is>
      </c>
      <c r="P160" s="3" t="n"/>
    </row>
    <row r="161" ht="42" customHeight="1">
      <c r="A161" t="inlineStr">
        <is>
          <t>V160</t>
        </is>
      </c>
      <c r="B161" t="inlineStr">
        <is>
          <t>2016</t>
        </is>
      </c>
      <c r="C161" t="inlineStr">
        <is>
          <t>Arxiv_CS_2016</t>
        </is>
      </c>
      <c r="D161" t="inlineStr">
        <is>
          <t>1604.04721v1.pdf</t>
        </is>
      </c>
      <c r="E161" s="2" t="inlineStr">
        <is>
          <t>R. Meredith Belbin, Management teams: Why they succeed or fail, Human Resource Management International Digest 19 (3).</t>
        </is>
      </c>
      <c r="F161">
        <f>HYPERLINK("https://scholar.google.com/scholar?q=R.+Meredith+Belbin%2C+Management+teams%3A+Why+they+succeed+or+fail%2C+Human+Resource+Management+International+Digest+19+%283%29.","search")</f>
        <v/>
      </c>
      <c r="G161" s="3" t="n"/>
      <c r="H161" s="3" t="n"/>
      <c r="I161" s="3" t="n"/>
      <c r="J161" s="3" t="n"/>
      <c r="K161" t="inlineStr">
        <is>
          <t>Management Teams: Why They Succeed or Fail (3rd ed.)</t>
        </is>
      </c>
      <c r="L161" t="inlineStr">
        <is>
          <t>Human Resource Management International Digest</t>
        </is>
      </c>
      <c r="M161" t="n">
        <v>2011</v>
      </c>
      <c r="N161" t="inlineStr">
        <is>
          <t>10.1108/hrmid.2011.04419cae.002</t>
        </is>
      </c>
      <c r="O161" t="inlineStr">
        <is>
          <t>YES</t>
        </is>
      </c>
      <c r="P161" s="3" t="n"/>
    </row>
    <row r="162" ht="42" customHeight="1">
      <c r="A162" t="inlineStr">
        <is>
          <t>V161</t>
        </is>
      </c>
      <c r="B162" t="inlineStr">
        <is>
          <t>2026</t>
        </is>
      </c>
      <c r="C162" t="inlineStr">
        <is>
          <t>Arxiv_General_Latest</t>
        </is>
      </c>
      <c r="D162" t="inlineStr">
        <is>
          <t>2606.00973v2.pdf</t>
        </is>
      </c>
      <c r="E162" s="2" t="inlineStr">
        <is>
          <t>B. E. Aboona, et al., Semi-inclusive direct photon+jet and π0+jet correlations measured in p+p and central Au+Au collisions at √sNN = 200 GeV, Phys. Rev. C 111 (6) (2025) 064907. arXiv:2309.00145, doi:10.1103/ 8b8y-98yh.</t>
        </is>
      </c>
      <c r="F162">
        <f>HYPERLINK("https://scholar.google.com/scholar?q=B.+E.+Aboona%2C+et+al.%2C+Semi-inclusive+direct+photon%2Bjet+and+%CF%800%2Bjet+correlations+measured+in+p%2Bp+and+central+Au%2BAu+collisi","search")</f>
        <v/>
      </c>
      <c r="G162" s="3" t="n"/>
      <c r="H162" s="3" t="n"/>
      <c r="I162" s="3" t="n"/>
      <c r="J162" s="3" t="n"/>
      <c r="K162" t="inlineStr">
        <is>
          <t>Measurement of semi-inclusive jet fragmentation functions in Au+Au collisions at √sNN = 200 GeV in STAR</t>
        </is>
      </c>
      <c r="L162" t="inlineStr">
        <is>
          <t>Proceedings of 10th International Conference on Hard and Electromagnetic Probes of High-Energy Nuclear Collisions — PoS(HardProbes2020)</t>
        </is>
      </c>
      <c r="M162" t="n">
        <v>2021</v>
      </c>
      <c r="N162" t="inlineStr">
        <is>
          <t>10.22323/1.387.0035</t>
        </is>
      </c>
      <c r="O162" t="inlineStr">
        <is>
          <t>NO</t>
        </is>
      </c>
      <c r="P162" s="3" t="n"/>
    </row>
    <row r="163" ht="42" customHeight="1">
      <c r="A163" t="inlineStr">
        <is>
          <t>V162</t>
        </is>
      </c>
      <c r="B163" t="inlineStr">
        <is>
          <t>2016</t>
        </is>
      </c>
      <c r="C163" t="inlineStr">
        <is>
          <t>NeurIPS_2016</t>
        </is>
      </c>
      <c r="D163" t="inlineStr">
        <is>
          <t>0c9ebb2ded806d7ffda75cd0b95eb70c-Paper.pdf</t>
        </is>
      </c>
      <c r="E163" s="2" t="inlineStr">
        <is>
          <t>R. M. Neal. Connectionist learning of belief networks. AIJ, 56(1):71–113, 1992.</t>
        </is>
      </c>
      <c r="F163">
        <f>HYPERLINK("https://scholar.google.com/scholar?q=R.+M.+Neal.+Connectionist+learning+of+belief+networks.+AIJ%2C+56%281%29%3A71%E2%80%93113%2C+1992.","search")</f>
        <v/>
      </c>
      <c r="G163" s="3" t="n"/>
      <c r="H163" s="3" t="n"/>
      <c r="I163" s="3" t="n"/>
      <c r="J163" s="3" t="n"/>
      <c r="K163" t="inlineStr">
        <is>
          <t>Connectionist learning of belief networks</t>
        </is>
      </c>
      <c r="L163" t="inlineStr">
        <is>
          <t>Artificial Intelligence</t>
        </is>
      </c>
      <c r="M163" t="n">
        <v>1992</v>
      </c>
      <c r="N163" t="inlineStr">
        <is>
          <t>10.1016/0004-3702(92)90065-6</t>
        </is>
      </c>
      <c r="O163" t="inlineStr">
        <is>
          <t>NO</t>
        </is>
      </c>
      <c r="P163" s="3" t="n"/>
    </row>
    <row r="164" ht="42" customHeight="1">
      <c r="A164" t="inlineStr">
        <is>
          <t>V163</t>
        </is>
      </c>
      <c r="B164" t="inlineStr">
        <is>
          <t>2026</t>
        </is>
      </c>
      <c r="C164" t="inlineStr">
        <is>
          <t>Arxiv_General_Latest</t>
        </is>
      </c>
      <c r="D164" t="inlineStr">
        <is>
          <t>2605.08764v1.pdf</t>
        </is>
      </c>
      <c r="E164" s="2" t="inlineStr">
        <is>
          <t>M. W. Weiner and D. P. Veitch, “Introduction to Special Issue: Overview of Alzheimer’s Disease Neuroimaging Initiative,” Alzheimer’s &amp; Dementia, vol. 11, no. 7, pp. 730–733, 2015. DOI: 10.1016/j.jalz.2015.05.007.</t>
        </is>
      </c>
      <c r="F164">
        <f>HYPERLINK("https://scholar.google.com/scholar?q=M.+W.+Weiner+and+D.+P.+Veitch%2C+%E2%80%9CIntroduction+to+Special+Issue%3A+Overview+of+Alzheimer%E2%80%99s+Disease+Neuroimaging+Initiative%2C%E2%80%9D","search")</f>
        <v/>
      </c>
      <c r="G164" s="3" t="n"/>
      <c r="H164" s="3" t="n"/>
      <c r="I164" s="3" t="n"/>
      <c r="J164" s="3" t="n"/>
      <c r="K164" t="inlineStr">
        <is>
          <t>Introduction to special issue: Overview of Alzheimer's Disease Neuroimaging Initiative</t>
        </is>
      </c>
      <c r="L164" t="inlineStr">
        <is>
          <t>Alzheimer's &amp;amp; Dementia</t>
        </is>
      </c>
      <c r="M164" t="n">
        <v>2015</v>
      </c>
      <c r="N164" t="inlineStr">
        <is>
          <t>10.1016/j.jalz.2015.05.007</t>
        </is>
      </c>
      <c r="O164" t="inlineStr">
        <is>
          <t>NO</t>
        </is>
      </c>
      <c r="P164" s="3" t="n"/>
    </row>
    <row r="165" ht="42" customHeight="1">
      <c r="A165" t="inlineStr">
        <is>
          <t>V164</t>
        </is>
      </c>
      <c r="B165" t="inlineStr">
        <is>
          <t>2026</t>
        </is>
      </c>
      <c r="C165" t="inlineStr">
        <is>
          <t>Arxiv_General_Latest</t>
        </is>
      </c>
      <c r="D165" t="inlineStr">
        <is>
          <t>2604.06618v2.pdf</t>
        </is>
      </c>
      <c r="E165" s="2" t="inlineStr">
        <is>
          <t>Ziliang Wang, Ge Li, Jia Li, Hao Zhu, and Zhi Jin. Vulagent: Hypothesis- validation based multi-agent vulnerability detection. arXiv preprint arXiv:2509.11523, 2025.</t>
        </is>
      </c>
      <c r="F165">
        <f>HYPERLINK("https://scholar.google.com/scholar?q=Ziliang+Wang%2C+Ge+Li%2C+Jia+Li%2C+Hao+Zhu%2C+and+Zhi+Jin.+Vulagent%3A+Hypothesis-+validation+based+multi-agent+vulnerability+dete","search")</f>
        <v/>
      </c>
      <c r="G165" s="3" t="n"/>
      <c r="H165" s="3" t="n"/>
      <c r="I165" s="3" t="n"/>
      <c r="J165" s="3" t="n"/>
      <c r="K165" t="inlineStr">
        <is>
          <t>1. S. Mustofa et al., “A Comprehensive Review on Plant Leaf Disease Detection using Deep Learning,” arXiv preprint, 2023. 2. H. Rehana et al., “Plant Disease Detection using Region-Based Convolutional Neural Network,” arXiv preprint, 2023. 3. Y. Zhang et</t>
        </is>
      </c>
      <c r="L165" t="inlineStr">
        <is>
          <t>International Journal of Engineering &amp;amp; Extended Technologies Research</t>
        </is>
      </c>
      <c r="M165" t="n">
        <v>2026</v>
      </c>
      <c r="N165" t="inlineStr">
        <is>
          <t>10.15662/ijeetr.2026.0802388</t>
        </is>
      </c>
      <c r="O165" t="inlineStr">
        <is>
          <t>NO</t>
        </is>
      </c>
      <c r="P165" s="3" t="n"/>
    </row>
    <row r="166" ht="42" customHeight="1">
      <c r="A166" t="inlineStr">
        <is>
          <t>V165</t>
        </is>
      </c>
      <c r="B166" t="inlineStr">
        <is>
          <t>2016</t>
        </is>
      </c>
      <c r="C166" t="inlineStr">
        <is>
          <t>Arxiv_Bio_2016</t>
        </is>
      </c>
      <c r="D166" t="inlineStr">
        <is>
          <t>1602.06785v2.pdf</t>
        </is>
      </c>
      <c r="E166" s="2" t="inlineStr">
        <is>
          <t>Salehi, M., Marzolla, M., Magnani, M., Sharma, R., Siyari, P. and Montesi, D. (2015) “Diﬀusion processes on multilayer networks,” Network Science and Engineering, IEEE Transactions, vol. 2, pp. 65-83.</t>
        </is>
      </c>
      <c r="F166">
        <f>HYPERLINK("https://scholar.google.com/scholar?q=Salehi%2C+M.%2C+Marzolla%2C+M.%2C+Magnani%2C+M.%2C+Sharma%2C+R.%2C+Siyari%2C+P.+and+Montesi%2C+D.+%282015%29+%E2%80%9CDi%EF%AC%80usion+processes+on+multilayer+n","search")</f>
        <v/>
      </c>
      <c r="G166" s="3" t="n"/>
      <c r="H166" s="3" t="n"/>
      <c r="I166" s="3" t="n"/>
      <c r="J166" s="3" t="n"/>
      <c r="K166" t="inlineStr">
        <is>
          <t>Spreading Processes in Multilayer Networks</t>
        </is>
      </c>
      <c r="L166" t="inlineStr">
        <is>
          <t>IEEE Transactions on Network Science and Engineering</t>
        </is>
      </c>
      <c r="M166" t="n">
        <v>2015</v>
      </c>
      <c r="N166" t="inlineStr">
        <is>
          <t>10.1109/tnse.2015.2425961</t>
        </is>
      </c>
      <c r="O166" t="inlineStr">
        <is>
          <t>NO</t>
        </is>
      </c>
      <c r="P166" s="3" t="n"/>
    </row>
    <row r="167" ht="42" customHeight="1">
      <c r="A167" t="inlineStr">
        <is>
          <t>V166</t>
        </is>
      </c>
      <c r="B167" t="inlineStr">
        <is>
          <t>2023</t>
        </is>
      </c>
      <c r="C167" t="inlineStr">
        <is>
          <t>Arxiv_Bio_2023</t>
        </is>
      </c>
      <c r="D167" t="inlineStr">
        <is>
          <t>2306.01824v1.pdf</t>
        </is>
      </c>
      <c r="E167" s="2" t="inlineStr">
        <is>
          <t>Mark Chen, Jerry Tworek, Heewoo Jun, Qiming Yuan, Henrique Ponde de Oliveira Pinto, Jared Kaplan, Harri Edwards, Yuri Burda, Nicholas Joseph, Greg Brockman, Alex Ray, Raul Puri, Gretchen Krueger, Michael Petrov, Heidy Khlaaf, Girish Sastry, Pamela Mishkin, Brooke Chan, Scott Gray, Nick Ryder, Mikhail Pavlov, Alethea Power, Lukasz Kaiser, Mohammad Bavarian, Clemens Winter, Philippe Tillet, Felipe Petroski Such, Dave Cummings, Matthias Plappert, Fotios Chantzis, Elizabeth Barnes, Ariel Herbert-Vos</t>
        </is>
      </c>
      <c r="F167">
        <f>HYPERLINK("https://scholar.google.com/scholar?q=Mark+Chen%2C+Jerry+Tworek%2C+Heewoo+Jun%2C+Qiming+Yuan%2C+Henrique+Ponde+de+Oliveira+Pinto%2C+Jared+Kaplan%2C+Harri+Edwards%2C+Yuri+Bu","search")</f>
        <v/>
      </c>
      <c r="G167" s="3" t="n"/>
      <c r="H167" s="3" t="n"/>
      <c r="I167" s="3" t="n"/>
      <c r="J167" s="3" t="n"/>
      <c r="K167" t="inlineStr">
        <is>
          <t>Open data from the first and second observing runs of Advanced LIGO and Advanced Virgo</t>
        </is>
      </c>
      <c r="L167" t="inlineStr">
        <is>
          <t>SoftwareX</t>
        </is>
      </c>
      <c r="M167" t="n">
        <v>2021</v>
      </c>
      <c r="N167" t="inlineStr">
        <is>
          <t>10.1016/j.softx.2021.100658</t>
        </is>
      </c>
      <c r="O167" t="inlineStr">
        <is>
          <t>NO</t>
        </is>
      </c>
      <c r="P167" s="3" t="n"/>
    </row>
    <row r="168" ht="42" customHeight="1">
      <c r="A168" t="inlineStr">
        <is>
          <t>V167</t>
        </is>
      </c>
      <c r="B168" t="inlineStr">
        <is>
          <t>2025</t>
        </is>
      </c>
      <c r="C168" t="inlineStr">
        <is>
          <t>Arxiv_CS_2025</t>
        </is>
      </c>
      <c r="D168" t="inlineStr">
        <is>
          <t>2501.18124v2.pdf</t>
        </is>
      </c>
      <c r="E168" s="2" t="inlineStr">
        <is>
          <t>M. Xu, Y. Wang, B. Xu, J. Zhang, J. Ren, Z. Huang, S. Poslad, and P. Xu, “A critical analysis of image-based camera pose estimation techniques,” Neurocomputing, vol. 570, p. 127125, 2024.</t>
        </is>
      </c>
      <c r="F168">
        <f>HYPERLINK("https://scholar.google.com/scholar?q=M.+Xu%2C+Y.+Wang%2C+B.+Xu%2C+J.+Zhang%2C+J.+Ren%2C+Z.+Huang%2C+S.+Poslad%2C+and+P.+Xu%2C+%E2%80%9CA+critical+analysis+of+image-based+camera+pose","search")</f>
        <v/>
      </c>
      <c r="G168" s="3" t="n"/>
      <c r="H168" s="3" t="n"/>
      <c r="I168" s="3" t="n"/>
      <c r="J168" s="3" t="n"/>
      <c r="K168" t="inlineStr">
        <is>
          <t>A critical analysis of image-based camera pose estimation techniques</t>
        </is>
      </c>
      <c r="L168" t="inlineStr">
        <is>
          <t>Neurocomputing</t>
        </is>
      </c>
      <c r="M168" t="n">
        <v>2024</v>
      </c>
      <c r="N168" t="inlineStr">
        <is>
          <t>10.1016/j.neucom.2023.127125</t>
        </is>
      </c>
      <c r="O168" t="inlineStr">
        <is>
          <t>NO</t>
        </is>
      </c>
      <c r="P168" s="3" t="n"/>
    </row>
    <row r="169" ht="42" customHeight="1">
      <c r="A169" t="inlineStr">
        <is>
          <t>V168</t>
        </is>
      </c>
      <c r="B169" t="inlineStr">
        <is>
          <t>2025</t>
        </is>
      </c>
      <c r="C169" t="inlineStr">
        <is>
          <t>Arxiv_CS_2025</t>
        </is>
      </c>
      <c r="D169" t="inlineStr">
        <is>
          <t>2503.10603v3.pdf</t>
        </is>
      </c>
      <c r="E169" s="2" t="inlineStr">
        <is>
          <t>Jacob Devlin, Ming-Wei Chang, Kenton Lee, and Kristina Toutanova. Bert: Pre-training of deep bidirectional trans- formers for language understanding, 2019. 3</t>
        </is>
      </c>
      <c r="F169">
        <f>HYPERLINK("https://scholar.google.com/scholar?q=Jacob+Devlin%2C+Ming-Wei+Chang%2C+Kenton+Lee%2C+and+Kristina+Toutanova.+Bert%3A+Pre-training+of+deep+bidirectional+trans-+former","search")</f>
        <v/>
      </c>
      <c r="G169" s="3" t="n"/>
      <c r="H169" s="3" t="n"/>
      <c r="I169" s="3" t="n"/>
      <c r="J169" s="3" t="n"/>
      <c r="K169" t="n">
        <v/>
      </c>
      <c r="L169" t="inlineStr">
        <is>
          <t>Proceedings of the 2019 Conference of the North</t>
        </is>
      </c>
      <c r="M169" t="n">
        <v>2019</v>
      </c>
      <c r="N169" t="inlineStr">
        <is>
          <t>10.18653/v1/n19-1423</t>
        </is>
      </c>
      <c r="O169" t="inlineStr">
        <is>
          <t>NO</t>
        </is>
      </c>
      <c r="P169" s="3" t="n"/>
    </row>
    <row r="170" ht="42" customHeight="1">
      <c r="A170" t="inlineStr">
        <is>
          <t>V169</t>
        </is>
      </c>
      <c r="B170" t="inlineStr">
        <is>
          <t>2023</t>
        </is>
      </c>
      <c r="C170" t="inlineStr">
        <is>
          <t>NeurIPS_2023</t>
        </is>
      </c>
      <c r="D170" t="inlineStr">
        <is>
          <t>056e8e9c8ca9929cb6cf198952bf1dbb-Paper-Conference.pdf</t>
        </is>
      </c>
      <c r="E170" s="2" t="inlineStr">
        <is>
          <t>Royi Rassin, Shauli Ravfogel, and Yoav Goldberg. Dalle-2 is seeing double: ﬂaws in word-to- concept mapping in text2image models. arXiv preprint arXiv:2210.10606, 2022. 10</t>
        </is>
      </c>
      <c r="F170">
        <f>HYPERLINK("https://scholar.google.com/scholar?q=Royi+Rassin%2C+Shauli+Ravfogel%2C+and+Yoav+Goldberg.+Dalle-2+is+seeing+double%3A+%EF%AC%82aws+in+word-to-+concept+mapping+in+text2imag","search")</f>
        <v/>
      </c>
      <c r="G170" s="3" t="n"/>
      <c r="H170" s="3" t="n"/>
      <c r="I170" s="3" t="n"/>
      <c r="J170" s="3" t="n"/>
      <c r="K170" t="inlineStr">
        <is>
          <t>DALLE-2 is Seeing Double: Flaws in Word-to-Concept Mapping in Text2Image Models</t>
        </is>
      </c>
      <c r="L170" t="inlineStr">
        <is>
          <t>Proceedings of the Fifth BlackboxNLP Workshop on Analyzing and Interpreting Neural Networks for NLP</t>
        </is>
      </c>
      <c r="M170" t="n">
        <v>2022</v>
      </c>
      <c r="N170" t="inlineStr">
        <is>
          <t>10.18653/v1/2022.blackboxnlp-1.28</t>
        </is>
      </c>
      <c r="O170" t="inlineStr">
        <is>
          <t>YES</t>
        </is>
      </c>
      <c r="P170" s="3" t="n"/>
    </row>
    <row r="171" ht="42" customHeight="1">
      <c r="A171" t="inlineStr">
        <is>
          <t>V170</t>
        </is>
      </c>
      <c r="B171" t="inlineStr">
        <is>
          <t>2025</t>
        </is>
      </c>
      <c r="C171" t="inlineStr">
        <is>
          <t>Arxiv_CS_2025</t>
        </is>
      </c>
      <c r="D171" t="inlineStr">
        <is>
          <t>2501.17555v1.pdf</t>
        </is>
      </c>
      <c r="E171" s="2" t="inlineStr">
        <is>
          <t>[Online]. Available: https://arxiv.org/abs/1505.04597</t>
        </is>
      </c>
      <c r="F171">
        <f>HYPERLINK("https://scholar.google.com/scholar?q=%5BOnline%5D.+Available%3A+https%3A%2F%2Farxiv.org%2Fabs%2F1505.04597","search")</f>
        <v/>
      </c>
      <c r="G171" s="3" t="n"/>
      <c r="H171" s="3" t="n"/>
      <c r="I171" s="3" t="n"/>
      <c r="J171" s="3" t="n"/>
      <c r="K171" t="inlineStr">
        <is>
          <t>Große Unterstützung für arXiv: Ergebnisse der Nutzerumfrage sind online</t>
        </is>
      </c>
      <c r="L171" t="n">
        <v/>
      </c>
      <c r="M171" t="n">
        <v>2016</v>
      </c>
      <c r="N171" t="inlineStr">
        <is>
          <t>10.65527/j5zhr-k9q78</t>
        </is>
      </c>
      <c r="O171" t="inlineStr">
        <is>
          <t>NO</t>
        </is>
      </c>
      <c r="P171" s="3" t="n"/>
    </row>
    <row r="172" ht="42" customHeight="1">
      <c r="A172" t="inlineStr">
        <is>
          <t>V171</t>
        </is>
      </c>
      <c r="B172" t="inlineStr">
        <is>
          <t>2025</t>
        </is>
      </c>
      <c r="C172" t="inlineStr">
        <is>
          <t>Arxiv_CS_2025</t>
        </is>
      </c>
      <c r="D172" t="inlineStr">
        <is>
          <t>2502.02489v1.pdf</t>
        </is>
      </c>
      <c r="E172" s="2" t="inlineStr">
        <is>
          <t>J. Snell et al., “Prototypical networks for few-shot learning,” Adv. neural inf. process. syst., vol. 30, 2017.</t>
        </is>
      </c>
      <c r="F172">
        <f>HYPERLINK("https://scholar.google.com/scholar?q=J.+Snell+et+al.%2C+%E2%80%9CPrototypical+networks+for+few-shot+learning%2C%E2%80%9D+Adv.+neural+inf.+process.+syst.%2C+vol.+30%2C+2017.","search")</f>
        <v/>
      </c>
      <c r="G172" s="3" t="n"/>
      <c r="H172" s="3" t="n"/>
      <c r="I172" s="3" t="n"/>
      <c r="J172" s="3" t="n"/>
      <c r="K172" t="inlineStr">
        <is>
          <t>Structure-Aware Prototypical Neural Process for Few-Shot Graph Classification</t>
        </is>
      </c>
      <c r="L172" t="inlineStr">
        <is>
          <t>IEEE Transactions on Neural Networks and Learning Systems</t>
        </is>
      </c>
      <c r="M172" t="n">
        <v>2024</v>
      </c>
      <c r="N172" t="inlineStr">
        <is>
          <t>10.1109/tnnls.2022.3173318</t>
        </is>
      </c>
      <c r="O172" t="inlineStr">
        <is>
          <t>NO</t>
        </is>
      </c>
      <c r="P172" s="3" t="n"/>
    </row>
    <row r="173" ht="42" customHeight="1">
      <c r="A173" t="inlineStr">
        <is>
          <t>V172</t>
        </is>
      </c>
      <c r="B173" t="inlineStr">
        <is>
          <t>2023</t>
        </is>
      </c>
      <c r="C173" t="inlineStr">
        <is>
          <t>Arxiv_CS_2023</t>
        </is>
      </c>
      <c r="D173" t="inlineStr">
        <is>
          <t>2312.10826v1.pdf</t>
        </is>
      </c>
      <c r="E173" s="2" t="inlineStr">
        <is>
          <t>Vincent Aleven and Kenneth R Koedinger. 2000. Limitations of student control: Do students know when they need help?. In International conference on intelligent tutoring systems. Springer, 292–303.</t>
        </is>
      </c>
      <c r="F173">
        <f>HYPERLINK("https://scholar.google.com/scholar?q=Vincent+Aleven+and+Kenneth+R+Koedinger.+2000.+Limitations+of+student+control%3A+Do+students+know+when+they+need+help%3F.+In+","search")</f>
        <v/>
      </c>
      <c r="G173" s="3" t="n"/>
      <c r="H173" s="3" t="n"/>
      <c r="I173" s="3" t="n"/>
      <c r="J173" s="3" t="n"/>
      <c r="K173" t="inlineStr">
        <is>
          <t>Limitations of Student Control: Do Students Know when They Need Help?</t>
        </is>
      </c>
      <c r="L173" t="inlineStr">
        <is>
          <t>Lecture Notes in Computer Science</t>
        </is>
      </c>
      <c r="M173" t="n">
        <v>2000</v>
      </c>
      <c r="N173" t="inlineStr">
        <is>
          <t>10.1007/3-540-45108-0_33</t>
        </is>
      </c>
      <c r="O173" t="inlineStr">
        <is>
          <t>NO</t>
        </is>
      </c>
      <c r="P173" s="3" t="n"/>
    </row>
    <row r="174" ht="42" customHeight="1">
      <c r="A174" t="inlineStr">
        <is>
          <t>V173</t>
        </is>
      </c>
      <c r="B174" t="inlineStr">
        <is>
          <t>2016</t>
        </is>
      </c>
      <c r="C174" t="inlineStr">
        <is>
          <t>Arxiv_Bio_2016</t>
        </is>
      </c>
      <c r="D174" t="inlineStr">
        <is>
          <t>1601.03255v1.pdf</t>
        </is>
      </c>
      <c r="E174" s="2" t="inlineStr">
        <is>
          <t>P. D. Prasad, H. N. Halahalli, J. P. John and K. K. Majumdar, “Single  trial EEG classification using logistic regression based on ensemble  synchronization,” IEEE J. Biomed. Health Informat., vol. 18(3), pp.  1074 – 1080, May 2014.</t>
        </is>
      </c>
      <c r="F174">
        <f>HYPERLINK("https://scholar.google.com/scholar?q=P.+D.+Prasad%2C+H.+N.+Halahalli%2C+J.+P.+John+and+K.+K.+Majumdar%2C+%E2%80%9CSingle++trial+EEG+classification+using+logistic+regressio","search")</f>
        <v/>
      </c>
      <c r="G174" s="3" t="n"/>
      <c r="H174" s="3" t="n"/>
      <c r="I174" s="3" t="n"/>
      <c r="J174" s="3" t="n"/>
      <c r="K174" t="inlineStr">
        <is>
          <t>Single-Trial EEG Classification Using Logistic Regression Based on Ensemble Synchronization</t>
        </is>
      </c>
      <c r="L174" t="inlineStr">
        <is>
          <t>IEEE Journal of Biomedical and Health Informatics</t>
        </is>
      </c>
      <c r="M174" t="n">
        <v>2014</v>
      </c>
      <c r="N174" t="inlineStr">
        <is>
          <t>10.1109/jbhi.2013.2289741</t>
        </is>
      </c>
      <c r="O174" t="inlineStr">
        <is>
          <t>YES</t>
        </is>
      </c>
      <c r="P174" s="3" t="n"/>
    </row>
    <row r="175" ht="42" customHeight="1">
      <c r="A175" t="inlineStr">
        <is>
          <t>V174</t>
        </is>
      </c>
      <c r="B175" t="inlineStr">
        <is>
          <t>2016</t>
        </is>
      </c>
      <c r="C175" t="inlineStr">
        <is>
          <t>NeurIPS_2016</t>
        </is>
      </c>
      <c r="D175" t="inlineStr">
        <is>
          <t>093b60fd0557804c8ba0cbf1453da22f-Paper.pdf</t>
        </is>
      </c>
      <c r="E175" s="2" t="inlineStr">
        <is>
          <t>P. Chen and D. Suter. Recovering the missing components in a large noisy low-rank matrix: Application to sfm. IEEE Trans. Pattern Anal. Mach. Intell., 26(8):1051–1063, Aug. 2004.</t>
        </is>
      </c>
      <c r="F175">
        <f>HYPERLINK("https://scholar.google.com/scholar?q=P.+Chen+and+D.+Suter.+Recovering+the+missing+components+in+a+large+noisy+low-rank+matrix%3A+Application+to+sfm.+IEEE+Trans","search")</f>
        <v/>
      </c>
      <c r="G175" s="3" t="n"/>
      <c r="H175" s="3" t="n"/>
      <c r="I175" s="3" t="n"/>
      <c r="J175" s="3" t="n"/>
      <c r="K175" t="inlineStr">
        <is>
          <t>Recovering the missing components in a large noisy low-rank matrix: application to SFM</t>
        </is>
      </c>
      <c r="L175" t="inlineStr">
        <is>
          <t>IEEE Transactions on Pattern Analysis and Machine Intelligence</t>
        </is>
      </c>
      <c r="M175" t="n">
        <v>2004</v>
      </c>
      <c r="N175" t="inlineStr">
        <is>
          <t>10.1109/tpami.2004.52</t>
        </is>
      </c>
      <c r="O175" t="inlineStr">
        <is>
          <t>YES</t>
        </is>
      </c>
      <c r="P175" s="3" t="n"/>
    </row>
    <row r="176" ht="42" customHeight="1">
      <c r="A176" t="inlineStr">
        <is>
          <t>V175</t>
        </is>
      </c>
      <c r="B176" t="inlineStr">
        <is>
          <t>2025</t>
        </is>
      </c>
      <c r="C176" t="inlineStr">
        <is>
          <t>Arxiv_CS_2025</t>
        </is>
      </c>
      <c r="D176" t="inlineStr">
        <is>
          <t>2501.11284v1.pdf</t>
        </is>
      </c>
      <c r="E176" s="2" t="inlineStr">
        <is>
          <t>Haoran Que, Feiyu Duan, Liqun He, Yutao Mou, Wangchunshu Zhou, Jiaheng Liu, Wenge Rong, Zekun Moore Wang, Jian Yang, Ge Zhang, et al. Hellobench: Evaluating long text generation capa- bilities of large language models. arXiv preprint arXiv:2409.16191, 2024.</t>
        </is>
      </c>
      <c r="F176">
        <f>HYPERLINK("https://scholar.google.com/scholar?q=Haoran+Que%2C+Feiyu+Duan%2C+Liqun+He%2C+Yutao+Mou%2C+Wangchunshu+Zhou%2C+Jiaheng+Liu%2C+Wenge+Rong%2C+Zekun+Moore+Wang%2C+Jian+Yang%2C+Ge+","search")</f>
        <v/>
      </c>
      <c r="G176" s="3" t="n"/>
      <c r="H176" s="3" t="n"/>
      <c r="I176" s="3" t="n"/>
      <c r="J176" s="3" t="n"/>
      <c r="K176" t="inlineStr">
        <is>
          <t>Multimodal ArXiv: A Dataset for Improving Scientific Comprehension of Large Vision-Language Models</t>
        </is>
      </c>
      <c r="L176" t="inlineStr">
        <is>
          <t>Proceedings of the 62nd Annual Meeting of the Association for Computational Linguistics (Volume 1: Long Papers)</t>
        </is>
      </c>
      <c r="M176" t="n">
        <v>2024</v>
      </c>
      <c r="N176" t="inlineStr">
        <is>
          <t>10.18653/v1/2024.acl-long.775</t>
        </is>
      </c>
      <c r="O176" t="inlineStr">
        <is>
          <t>YES</t>
        </is>
      </c>
      <c r="P176" s="3" t="n"/>
    </row>
    <row r="177" ht="42" customHeight="1">
      <c r="A177" t="inlineStr">
        <is>
          <t>V176</t>
        </is>
      </c>
      <c r="B177" t="inlineStr">
        <is>
          <t>2016</t>
        </is>
      </c>
      <c r="C177" t="inlineStr">
        <is>
          <t>NeurIPS_2016</t>
        </is>
      </c>
      <c r="D177" t="inlineStr">
        <is>
          <t>062ddb6c727310e76b6200b7c71f63b5-Paper.pdf</t>
        </is>
      </c>
      <c r="E177" s="2" t="inlineStr">
        <is>
          <t>J. Van Gael, Y. Saatci, Y. W. Teh, and Z. Ghahramani. Beam sampling for the inﬁnite hidden Markov model. In Proceedings of the 25th international conference on Machine learning, pages 1088–1095. ACM,</t>
        </is>
      </c>
      <c r="F177">
        <f>HYPERLINK("https://scholar.google.com/scholar?q=J.+Van+Gael%2C+Y.+Saatci%2C+Y.+W.+Teh%2C+and+Z.+Ghahramani.+Beam+sampling+for+the+in%EF%AC%81nite+hidden+Markov+model.+In+Proceedings+","search")</f>
        <v/>
      </c>
      <c r="G177" s="3" t="n"/>
      <c r="H177" s="3" t="n"/>
      <c r="I177" s="3" t="n"/>
      <c r="J177" s="3" t="n"/>
      <c r="K177" t="inlineStr">
        <is>
          <t>Beam sampling for the infinite hidden Markov model</t>
        </is>
      </c>
      <c r="L177" t="inlineStr">
        <is>
          <t>Proceedings of the 25th international conference on Machine learning - ICML '08</t>
        </is>
      </c>
      <c r="M177" t="n">
        <v>2008</v>
      </c>
      <c r="N177" t="inlineStr">
        <is>
          <t>10.1145/1390156.1390293</t>
        </is>
      </c>
      <c r="O177" t="inlineStr">
        <is>
          <t>NO</t>
        </is>
      </c>
      <c r="P177" s="3" t="n"/>
    </row>
    <row r="178" ht="42" customHeight="1">
      <c r="A178" t="inlineStr">
        <is>
          <t>V177</t>
        </is>
      </c>
      <c r="B178" t="inlineStr">
        <is>
          <t>2016</t>
        </is>
      </c>
      <c r="C178" t="inlineStr">
        <is>
          <t>Arxiv_CS_2016</t>
        </is>
      </c>
      <c r="D178" t="inlineStr">
        <is>
          <t>1607.03979v1.pdf</t>
        </is>
      </c>
      <c r="E178" s="2" t="inlineStr">
        <is>
          <t>Reuters: Reuters reports about iran earthquake. http://www.reuters.com (April 2013)</t>
        </is>
      </c>
      <c r="F178">
        <f>HYPERLINK("https://scholar.google.com/scholar?q=Reuters%3A+Reuters+reports+about+iran+earthquake.+http%3A%2F%2Fwww.reuters.com+%28April+2013%29","search")</f>
        <v/>
      </c>
      <c r="G178" s="3" t="n"/>
      <c r="H178" s="3" t="n"/>
      <c r="I178" s="3" t="n"/>
      <c r="J178" s="3" t="n"/>
      <c r="K178" t="inlineStr">
        <is>
          <t>FitzGerald, Niall William Arthur, (born 13 Sept. 1945), Deputy Chairman, Thomson Reuters, 2008–11 (Chairman, Reuters PLC, 2004–08; non-executive Director, Thomson Reuters (formerly Reuters PLC), 2003–11); Chairman, Michael Smurfit Graduate Business School, University College Dublin, since 2014</t>
        </is>
      </c>
      <c r="L178" t="inlineStr">
        <is>
          <t>Who's Who</t>
        </is>
      </c>
      <c r="M178" t="n">
        <v>2007</v>
      </c>
      <c r="N178" t="inlineStr">
        <is>
          <t>10.1093/ww/9780199540884.013.u15858</t>
        </is>
      </c>
      <c r="O178" t="inlineStr">
        <is>
          <t>NO</t>
        </is>
      </c>
      <c r="P178" s="3" t="n"/>
    </row>
    <row r="179" ht="42" customHeight="1">
      <c r="A179" t="inlineStr">
        <is>
          <t>V178</t>
        </is>
      </c>
      <c r="B179" t="inlineStr">
        <is>
          <t>2023</t>
        </is>
      </c>
      <c r="C179" t="inlineStr">
        <is>
          <t>Arxiv_Bio_2023</t>
        </is>
      </c>
      <c r="D179" t="inlineStr">
        <is>
          <t>2307.03415v1.pdf</t>
        </is>
      </c>
      <c r="E179" s="2" t="inlineStr">
        <is>
          <t>Joint PHE Porton Down &amp; University of Oxford SARS-CoV-2 test devel- opment and validation cell. Preliminary report: Rapid evaluation of Lateral Flow Viral Antigen detection devices (LFDs) for mass community testing; 2020.</t>
        </is>
      </c>
      <c r="F179">
        <f>HYPERLINK("https://scholar.google.com/scholar?q=Joint+PHE+Porton+Down+%26+University+of+Oxford+SARS-CoV-2+test+devel-+opment+and+validation+cell.+Preliminary+report%3A+Rapi","search")</f>
        <v/>
      </c>
      <c r="G179" s="3" t="n"/>
      <c r="H179" s="3" t="n"/>
      <c r="I179" s="3" t="n"/>
      <c r="J179" s="3" t="n"/>
      <c r="K179" t="inlineStr">
        <is>
          <t>COVID-19: Rapid Antigen detection for SARS-CoV-2 by lateral flow assay: a national systematic evaluation for mass-testing</t>
        </is>
      </c>
      <c r="L179" t="n">
        <v/>
      </c>
      <c r="M179" t="n">
        <v>2021</v>
      </c>
      <c r="N179" t="inlineStr">
        <is>
          <t>10.1101/2021.01.13.21249563</t>
        </is>
      </c>
      <c r="O179" t="inlineStr">
        <is>
          <t>YES</t>
        </is>
      </c>
      <c r="P179" s="3" t="n"/>
    </row>
    <row r="180" ht="42" customHeight="1">
      <c r="A180" t="inlineStr">
        <is>
          <t>V179</t>
        </is>
      </c>
      <c r="B180" t="inlineStr">
        <is>
          <t>2016</t>
        </is>
      </c>
      <c r="C180" t="inlineStr">
        <is>
          <t>NeurIPS_2016</t>
        </is>
      </c>
      <c r="D180" t="inlineStr">
        <is>
          <t>3cef96dcc9b8035d23f69e30bb19218a-Paper.pdf</t>
        </is>
      </c>
      <c r="E180" s="2" t="inlineStr">
        <is>
          <t>Saralees Nadarajah. A generalized normal distribution. Journal of Applied Statistics, 32(7), 2005.</t>
        </is>
      </c>
      <c r="F180">
        <f>HYPERLINK("https://scholar.google.com/scholar?q=Saralees+Nadarajah.+A+generalized+normal+distribution.+Journal+of+Applied+Statistics%2C+32%287%29%2C+2005.","search")</f>
        <v/>
      </c>
      <c r="G180" s="3" t="n"/>
      <c r="H180" s="3" t="n"/>
      <c r="I180" s="3" t="n"/>
      <c r="J180" s="3" t="n"/>
      <c r="K180" t="inlineStr">
        <is>
          <t>A generalized normal distribution</t>
        </is>
      </c>
      <c r="L180" t="inlineStr">
        <is>
          <t>Journal of Applied Statistics</t>
        </is>
      </c>
      <c r="M180" t="n">
        <v>2005</v>
      </c>
      <c r="N180" t="inlineStr">
        <is>
          <t>10.1080/02664760500079464</t>
        </is>
      </c>
      <c r="O180" t="inlineStr">
        <is>
          <t>NO</t>
        </is>
      </c>
      <c r="P180" s="3" t="n"/>
    </row>
    <row r="181" ht="42" customHeight="1">
      <c r="A181" t="inlineStr">
        <is>
          <t>V180</t>
        </is>
      </c>
      <c r="B181" t="inlineStr">
        <is>
          <t>2023</t>
        </is>
      </c>
      <c r="C181" t="inlineStr">
        <is>
          <t>Arxiv_CS_2023</t>
        </is>
      </c>
      <c r="D181" t="inlineStr">
        <is>
          <t>2312.12485v1.pdf</t>
        </is>
      </c>
      <c r="E181" s="2" t="inlineStr">
        <is>
          <t>Vlastelica*, M., Paulus*, A., Musil, V., Martius, G., Rolínek, M.: Diﬀerentiation of blackbox combinatorial solvers. In: International Conference on Learning Represen- tations. ICLR’20 (May 2020), https://openreview.net/forum?id=BkevoJSYPB, *Equal Contribution</t>
        </is>
      </c>
      <c r="F181">
        <f>HYPERLINK("https://scholar.google.com/scholar?q=Vlastelica%2A%2C+M.%2C+Paulus%2A%2C+A.%2C+Musil%2C+V.%2C+Martius%2C+G.%2C+Rol%C3%ADnek%2C+M.%3A+Di%EF%AC%80erentiation+of+blackbox+combinatorial+solvers.+In%3A","search")</f>
        <v/>
      </c>
      <c r="G181" s="3" t="n"/>
      <c r="H181" s="3" t="n"/>
      <c r="I181" s="3" t="n"/>
      <c r="J181" s="3" t="n"/>
      <c r="K181" t="inlineStr">
        <is>
          <t>Deep Graph Matching via Blackbox Differentiation of Combinatorial Solvers</t>
        </is>
      </c>
      <c r="L181" t="inlineStr">
        <is>
          <t>Lecture Notes in Computer Science</t>
        </is>
      </c>
      <c r="M181" t="n">
        <v>2020</v>
      </c>
      <c r="N181" t="inlineStr">
        <is>
          <t>10.1007/978-3-030-58604-1_25</t>
        </is>
      </c>
      <c r="O181" t="inlineStr">
        <is>
          <t>NO</t>
        </is>
      </c>
      <c r="P181" s="3" t="n"/>
    </row>
    <row r="182" ht="42" customHeight="1">
      <c r="A182" t="inlineStr">
        <is>
          <t>V181</t>
        </is>
      </c>
      <c r="B182" t="inlineStr">
        <is>
          <t>2026</t>
        </is>
      </c>
      <c r="C182" t="inlineStr">
        <is>
          <t>Arxiv_General_Latest</t>
        </is>
      </c>
      <c r="D182" t="inlineStr">
        <is>
          <t>2606.26093v1.pdf</t>
        </is>
      </c>
      <c r="E182" s="2" t="inlineStr">
        <is>
          <t>S. Haldar and L. Pinto. Point policy: Unifying observations and actions with key points for robot manipulation. In Conference on Robot Learning (CoRL), 2025.</t>
        </is>
      </c>
      <c r="F182">
        <f>HYPERLINK("https://scholar.google.com/scholar?q=S.+Haldar+and+L.+Pinto.+Point+policy%3A+Unifying+observations+and+actions+with+key+points+for+robot+manipulation.+In+Confe","search")</f>
        <v/>
      </c>
      <c r="G182" s="3" t="n"/>
      <c r="H182" s="3" t="n"/>
      <c r="I182" s="3" t="n"/>
      <c r="J182" s="3" t="n"/>
      <c r="K182" t="inlineStr">
        <is>
          <t>P3-PO: Prescriptive Point Priors for Visuo-Spatial Generalization of Robot Policies</t>
        </is>
      </c>
      <c r="L182" t="inlineStr">
        <is>
          <t>2025 IEEE International Conference on Robotics and Automation (ICRA)</t>
        </is>
      </c>
      <c r="M182" t="n">
        <v>2025</v>
      </c>
      <c r="N182" t="inlineStr">
        <is>
          <t>10.1109/icra55743.2025.11128755</t>
        </is>
      </c>
      <c r="O182" t="inlineStr">
        <is>
          <t>YES</t>
        </is>
      </c>
      <c r="P182" s="3" t="n"/>
    </row>
    <row r="183" ht="42" customHeight="1">
      <c r="A183" t="inlineStr">
        <is>
          <t>V182</t>
        </is>
      </c>
      <c r="B183" t="inlineStr">
        <is>
          <t>2025</t>
        </is>
      </c>
      <c r="C183" t="inlineStr">
        <is>
          <t>Arxiv_CS_2025</t>
        </is>
      </c>
      <c r="D183" t="inlineStr">
        <is>
          <t>2502.19694v2.pdf</t>
        </is>
      </c>
      <c r="E183" s="2" t="inlineStr">
        <is>
          <t>Jonah Philion and Sanja Fidler. Lift, splat, shoot: Encoding images from arbitrary camera rigs by implicitly unprojecting to 3d. In European Conference on Computer Vision, pages 194–210, 2020. 1, 2</t>
        </is>
      </c>
      <c r="F183">
        <f>HYPERLINK("https://scholar.google.com/scholar?q=Jonah+Philion+and+Sanja+Fidler.+Lift%2C+splat%2C+shoot%3A+Encoding+images+from+arbitrary+camera+rigs+by+implicitly+unprojectin","search")</f>
        <v/>
      </c>
      <c r="G183" s="3" t="n"/>
      <c r="H183" s="3" t="n"/>
      <c r="I183" s="3" t="n"/>
      <c r="J183" s="3" t="n"/>
      <c r="K183" t="inlineStr">
        <is>
          <t>Lift, Splat, Shoot: Encoding Images from Arbitrary Camera Rigs by Implicitly Unprojecting to 3D</t>
        </is>
      </c>
      <c r="L183" t="inlineStr">
        <is>
          <t>Lecture Notes in Computer Science</t>
        </is>
      </c>
      <c r="M183" t="n">
        <v>2020</v>
      </c>
      <c r="N183" t="inlineStr">
        <is>
          <t>10.1007/978-3-030-58568-6_12</t>
        </is>
      </c>
      <c r="O183" t="inlineStr">
        <is>
          <t>NO</t>
        </is>
      </c>
      <c r="P183" s="3" t="n"/>
    </row>
    <row r="184" ht="42" customHeight="1">
      <c r="A184" t="inlineStr">
        <is>
          <t>V183</t>
        </is>
      </c>
      <c r="B184" t="inlineStr">
        <is>
          <t>2023</t>
        </is>
      </c>
      <c r="C184" t="inlineStr">
        <is>
          <t>NeurIPS_2023</t>
        </is>
      </c>
      <c r="D184" t="inlineStr">
        <is>
          <t>0aa800df4298539770b57824afc77a89-Paper-Conference.pdf</t>
        </is>
      </c>
      <c r="E184" s="2" t="inlineStr">
        <is>
          <t>K. He, X. Zhang, S. Ren, and J. Sun. Deep residual learning for image recognition. In Proceedings of the IEEE conference on computer vision and pattern recognition, pages 770– 778, 2016.</t>
        </is>
      </c>
      <c r="F184">
        <f>HYPERLINK("https://scholar.google.com/scholar?q=K.+He%2C+X.+Zhang%2C+S.+Ren%2C+and+J.+Sun.+Deep+residual+learning+for+image+recognition.+In+Proceedings+of+the+IEEE+conference","search")</f>
        <v/>
      </c>
      <c r="G184" s="3" t="n"/>
      <c r="H184" s="3" t="n"/>
      <c r="I184" s="3" t="n"/>
      <c r="J184" s="3" t="n"/>
      <c r="K184" t="inlineStr">
        <is>
          <t>Deep Residual Learning for Image Recognition</t>
        </is>
      </c>
      <c r="L184" t="inlineStr">
        <is>
          <t>2016 IEEE Conference on Computer Vision and Pattern Recognition (CVPR)</t>
        </is>
      </c>
      <c r="M184" t="n">
        <v>2016</v>
      </c>
      <c r="N184" t="inlineStr">
        <is>
          <t>10.1109/cvpr.2016.90</t>
        </is>
      </c>
      <c r="O184" t="inlineStr">
        <is>
          <t>NO</t>
        </is>
      </c>
      <c r="P184" s="3" t="n"/>
    </row>
    <row r="185" ht="42" customHeight="1">
      <c r="A185" t="inlineStr">
        <is>
          <t>V184</t>
        </is>
      </c>
      <c r="B185" t="inlineStr">
        <is>
          <t>2023</t>
        </is>
      </c>
      <c r="C185" t="inlineStr">
        <is>
          <t>NeurIPS_2023</t>
        </is>
      </c>
      <c r="D185" t="inlineStr">
        <is>
          <t>098491b37deebbe6c007e69815729e09-Paper-Conference.pdf</t>
        </is>
      </c>
      <c r="E185" s="2" t="inlineStr">
        <is>
          <t>Anna Khoreva, Anna Rohrbach, and Bernt Schiele. Video object segmentation with language referring expressions. In Computer Vision–ACCV 2018: 14th Asian Conference on Computer Vision, Perth, Australia, December 2–6, 2018, Revised Selected Papers, Part IV 14, pages 123–141. Springer, 2019. 2, 3</t>
        </is>
      </c>
      <c r="F185">
        <f>HYPERLINK("https://scholar.google.com/scholar?q=Anna+Khoreva%2C+Anna+Rohrbach%2C+and+Bernt+Schiele.+Video+object+segmentation+with+language+referring+expressions.+In+Comput","search")</f>
        <v/>
      </c>
      <c r="G185" s="3" t="n"/>
      <c r="H185" s="3" t="n"/>
      <c r="I185" s="3" t="n"/>
      <c r="J185" s="3" t="n"/>
      <c r="K185" t="inlineStr">
        <is>
          <t>Video Object Segmentation with Language Referring Expressions</t>
        </is>
      </c>
      <c r="L185" t="inlineStr">
        <is>
          <t>Lecture Notes in Computer Science</t>
        </is>
      </c>
      <c r="M185" t="n">
        <v>2019</v>
      </c>
      <c r="N185" t="inlineStr">
        <is>
          <t>10.1007/978-3-030-20870-7_8</t>
        </is>
      </c>
      <c r="O185" t="inlineStr">
        <is>
          <t>NO</t>
        </is>
      </c>
      <c r="P185" s="3" t="n"/>
    </row>
    <row r="186" ht="42" customHeight="1">
      <c r="A186" t="inlineStr">
        <is>
          <t>V185</t>
        </is>
      </c>
      <c r="B186" t="inlineStr">
        <is>
          <t>2016</t>
        </is>
      </c>
      <c r="C186" t="inlineStr">
        <is>
          <t>NeurIPS_2016</t>
        </is>
      </c>
      <c r="D186" t="inlineStr">
        <is>
          <t>20c9f5700da1088260df60fcc5df2b53-Paper.pdf</t>
        </is>
      </c>
      <c r="E186" s="2" t="inlineStr">
        <is>
          <t>Andriy Mnih and Danilo J Rezende. Variational inference for monte carlo objectives. arXiv preprint arXiv:1602.06725, 2016.</t>
        </is>
      </c>
      <c r="F186">
        <f>HYPERLINK("https://scholar.google.com/scholar?q=Andriy+Mnih+and+Danilo+J+Rezende.+Variational+inference+for+monte+carlo+objectives.+arXiv+preprint+arXiv%3A1602.06725%2C+201","search")</f>
        <v/>
      </c>
      <c r="G186" s="3" t="n"/>
      <c r="H186" s="3" t="n"/>
      <c r="I186" s="3" t="n"/>
      <c r="J186" s="3" t="n"/>
      <c r="K186" t="inlineStr">
        <is>
          <t>Comment on the Paper Titled ’The Origin of Quantum Mechanical Statistics: Insights from Research on Human Language’ (arXiv preprint arXiv:2407.14924, 2024)</t>
        </is>
      </c>
      <c r="L186" t="n">
        <v/>
      </c>
      <c r="M186" t="n">
        <v>2024</v>
      </c>
      <c r="N186" t="inlineStr">
        <is>
          <t>10.20944/preprints202411.2377.v1</t>
        </is>
      </c>
      <c r="O186" t="inlineStr">
        <is>
          <t>NO</t>
        </is>
      </c>
      <c r="P186" s="3" t="n"/>
    </row>
    <row r="187" ht="42" customHeight="1">
      <c r="A187" t="inlineStr">
        <is>
          <t>V186</t>
        </is>
      </c>
      <c r="B187" t="inlineStr">
        <is>
          <t>2016</t>
        </is>
      </c>
      <c r="C187" t="inlineStr">
        <is>
          <t>Arxiv_Bio_2016</t>
        </is>
      </c>
      <c r="D187" t="inlineStr">
        <is>
          <t>1602.05981v1.pdf</t>
        </is>
      </c>
      <c r="E187" s="2" t="inlineStr">
        <is>
          <t>Hoque, M.A., et al., Delineating low-arsenic groundwater environments in the Bengal Aquifer System,  Bangladesh. Applied Geochemistry, 2011. 26(4): p. 614-623.</t>
        </is>
      </c>
      <c r="F187">
        <f>HYPERLINK("https://scholar.google.com/scholar?q=Hoque%2C+M.A.%2C+et+al.%2C+Delineating+low-arsenic+groundwater+environments+in+the+Bengal+Aquifer+System%2C++Bangladesh.+Applied","search")</f>
        <v/>
      </c>
      <c r="G187" s="3" t="n"/>
      <c r="H187" s="3" t="n"/>
      <c r="I187" s="3" t="n"/>
      <c r="J187" s="3" t="n"/>
      <c r="K187" t="inlineStr">
        <is>
          <t>Delineating low-arsenic groundwater environments in the Bengal Aquifer System, Bangladesh</t>
        </is>
      </c>
      <c r="L187" t="inlineStr">
        <is>
          <t>Applied Geochemistry</t>
        </is>
      </c>
      <c r="M187" t="n">
        <v>2011</v>
      </c>
      <c r="N187" t="inlineStr">
        <is>
          <t>10.1016/j.apgeochem.2011.01.018</t>
        </is>
      </c>
      <c r="O187" t="inlineStr">
        <is>
          <t>NO</t>
        </is>
      </c>
      <c r="P187" s="3" t="n"/>
    </row>
    <row r="188" ht="42" customHeight="1">
      <c r="A188" t="inlineStr">
        <is>
          <t>V187</t>
        </is>
      </c>
      <c r="B188" t="inlineStr">
        <is>
          <t>2016</t>
        </is>
      </c>
      <c r="C188" t="inlineStr">
        <is>
          <t>Arxiv_CS_2016</t>
        </is>
      </c>
      <c r="D188" t="inlineStr">
        <is>
          <t>1607.08038v1.pdf</t>
        </is>
      </c>
      <c r="E188" s="2" t="inlineStr">
        <is>
          <t>D.T. Wooden. Graph-based Path Planning for Mobile Robots, PhD thesis, Georgia Institute of Technology, 2006.</t>
        </is>
      </c>
      <c r="F188">
        <f>HYPERLINK("https://scholar.google.com/scholar?q=D.T.+Wooden.+Graph-based+Path+Planning+for+Mobile+Robots%2C+PhD+thesis%2C+Georgia+Institute+of+Technology%2C+2006.","search")</f>
        <v/>
      </c>
      <c r="G188" s="3" t="n"/>
      <c r="H188" s="3" t="n"/>
      <c r="I188" s="3" t="n"/>
      <c r="J188" s="3" t="n"/>
      <c r="K188" t="inlineStr">
        <is>
          <t>Efficient Coverage Path Planning for Mobile Disinfecting Robots Using Graph-Based Representation of Environment</t>
        </is>
      </c>
      <c r="L188" t="n">
        <v/>
      </c>
      <c r="M188" t="n">
        <v>2023</v>
      </c>
      <c r="N188" t="inlineStr">
        <is>
          <t>10.32920/23989458</t>
        </is>
      </c>
      <c r="O188" t="inlineStr">
        <is>
          <t>NO</t>
        </is>
      </c>
      <c r="P188" s="3" t="n"/>
    </row>
    <row r="189" ht="42" customHeight="1">
      <c r="A189" t="inlineStr">
        <is>
          <t>V188</t>
        </is>
      </c>
      <c r="B189" t="inlineStr">
        <is>
          <t>2026</t>
        </is>
      </c>
      <c r="C189" t="inlineStr">
        <is>
          <t>Arxiv_General_Latest</t>
        </is>
      </c>
      <c r="D189" t="inlineStr">
        <is>
          <t>2602.17973v2.pdf</t>
        </is>
      </c>
      <c r="E189" s="2" t="inlineStr">
        <is>
          <t>Phong, L.T., Aono, Y., Hayashi, T., Wang, L., Moriai, S.: Privacy-preserving deep learning via additively homomorphic encryption. IEEE Transactions on Infor- mation Forensics and Security 13(5), 1333–1345 (2018) https://doi.org/10.1109/ TIFS.2017.2787987</t>
        </is>
      </c>
      <c r="F189">
        <f>HYPERLINK("https://scholar.google.com/scholar?q=Phong%2C+L.T.%2C+Aono%2C+Y.%2C+Hayashi%2C+T.%2C+Wang%2C+L.%2C+Moriai%2C+S.%3A+Privacy-preserving+deep+learning+via+additively+homomorphic+en","search")</f>
        <v/>
      </c>
      <c r="G189" s="3" t="n"/>
      <c r="H189" s="3" t="n"/>
      <c r="I189" s="3" t="n"/>
      <c r="J189" s="3" t="n"/>
      <c r="K189" t="inlineStr">
        <is>
          <t>Privacy-Preserving Deep Learning via Additively Homomorphic Encryption</t>
        </is>
      </c>
      <c r="L189" t="inlineStr">
        <is>
          <t>IEEE Transactions on Information Forensics and Security</t>
        </is>
      </c>
      <c r="M189" t="n">
        <v>2018</v>
      </c>
      <c r="N189" t="inlineStr">
        <is>
          <t>10.1109/tifs.2017.2787987</t>
        </is>
      </c>
      <c r="O189" t="inlineStr">
        <is>
          <t>YES</t>
        </is>
      </c>
      <c r="P189" s="3" t="n"/>
    </row>
    <row r="190" ht="42" customHeight="1">
      <c r="A190" t="inlineStr">
        <is>
          <t>V189</t>
        </is>
      </c>
      <c r="B190" t="inlineStr">
        <is>
          <t>2023</t>
        </is>
      </c>
      <c r="C190" t="inlineStr">
        <is>
          <t>Arxiv_Bio_2023</t>
        </is>
      </c>
      <c r="D190" t="inlineStr">
        <is>
          <t>2307.14099v1.pdf</t>
        </is>
      </c>
      <c r="E190" s="2" t="inlineStr">
        <is>
          <t>Tagliazucchi, E., Balenzuela, P., Fraiman, D. &amp; Chialvo, D. Criticality in large-scale brain fMRI dynamics unveiled by a novel point process analysis. Front. Physiol. 3, DOI: 10.3389/fphys.2012.00015 (2012). 19/24  0.025 0.050 0.075 0.100 0.125 T 0 2 4 6 cluster size/N ×10−3 DorL (46) S2 SA 2 SB 1 0.025 0.050 0.075 0.100 0.125 T 0 2 4 6 cluster size/N ×10−3 VisL (69) S2 SA 2 SB 1 0.025 0.050 0.075 0.100 0.125 T 0.0 0.5 1.0 cluster size/N ×10−2 VisM (71) S2 SA 2 SB 1 0.025 0.050 0.075 0.100 0.125</t>
        </is>
      </c>
      <c r="F190">
        <f>HYPERLINK("https://scholar.google.com/scholar?q=Tagliazucchi%2C+E.%2C+Balenzuela%2C+P.%2C+Fraiman%2C+D.+%26+Chialvo%2C+D.+Criticality+in+large-scale+brain+fMRI+dynamics+unveiled+by+a","search")</f>
        <v/>
      </c>
      <c r="G190" s="3" t="n"/>
      <c r="H190" s="3" t="n"/>
      <c r="I190" s="3" t="n"/>
      <c r="J190" s="3" t="n"/>
      <c r="K190" t="inlineStr">
        <is>
          <t>Energy density analysis of cluster size dependence of surface-molecule interactions: H2, C2H2, C2H4, and CO adsorption onto Si(100)-(2×1) surface</t>
        </is>
      </c>
      <c r="L190" t="inlineStr">
        <is>
          <t>The Journal of Chemical Physics</t>
        </is>
      </c>
      <c r="M190" t="n">
        <v>2004</v>
      </c>
      <c r="N190" t="inlineStr">
        <is>
          <t>10.1063/1.1781121</t>
        </is>
      </c>
      <c r="O190" t="inlineStr">
        <is>
          <t>NO</t>
        </is>
      </c>
      <c r="P190" s="3" t="n"/>
    </row>
    <row r="191" ht="42" customHeight="1">
      <c r="A191" t="inlineStr">
        <is>
          <t>V190</t>
        </is>
      </c>
      <c r="B191" t="inlineStr">
        <is>
          <t>2016</t>
        </is>
      </c>
      <c r="C191" t="inlineStr">
        <is>
          <t>Arxiv_Bio_2016</t>
        </is>
      </c>
      <c r="D191" t="inlineStr">
        <is>
          <t>1612.01561v1.pdf</t>
        </is>
      </c>
      <c r="E191" s="2" t="inlineStr">
        <is>
          <t>Beachy, R.N., 1999. Coat-protein-mediated resistance to tobacco mosaic virus: discovery mech- anisms and exploitation. Phil. Trans. Roy. Soc. Lond. B 354, 659–664.</t>
        </is>
      </c>
      <c r="F191">
        <f>HYPERLINK("https://scholar.google.com/scholar?q=Beachy%2C+R.N.%2C+1999.+Coat-protein-mediated+resistance+to+tobacco+mosaic+virus%3A+discovery+mech-+anisms+and+exploitation.+P","search")</f>
        <v/>
      </c>
      <c r="G191" s="3" t="n"/>
      <c r="H191" s="3" t="n"/>
      <c r="I191" s="3" t="n"/>
      <c r="J191" s="3" t="n"/>
      <c r="K191" t="inlineStr">
        <is>
          <t>Coat–protein–mediated resistance to tobacco mosaic virus: discovery mechanisms and exploitation</t>
        </is>
      </c>
      <c r="L191" t="inlineStr">
        <is>
          <t>Philosophical Transactions of the Royal Society of London. Series B: Biological Sciences</t>
        </is>
      </c>
      <c r="M191" t="n">
        <v>1999</v>
      </c>
      <c r="N191" t="inlineStr">
        <is>
          <t>10.1098/rstb.1999.0418</t>
        </is>
      </c>
      <c r="O191" t="inlineStr">
        <is>
          <t>NO</t>
        </is>
      </c>
      <c r="P191" s="3" t="n"/>
    </row>
    <row r="192" ht="42" customHeight="1">
      <c r="A192" t="inlineStr">
        <is>
          <t>V191</t>
        </is>
      </c>
      <c r="B192" t="inlineStr">
        <is>
          <t>2026</t>
        </is>
      </c>
      <c r="C192" t="inlineStr">
        <is>
          <t>Arxiv_General_Latest</t>
        </is>
      </c>
      <c r="D192" t="inlineStr">
        <is>
          <t>2604.05488v1.pdf</t>
        </is>
      </c>
      <c r="E192" s="2" t="inlineStr">
        <is>
          <t>M. Lehnen et al. vol. IAEA-CN-316-2302, TECH/1–1. IAEA, London, United Kingdom (2023).</t>
        </is>
      </c>
      <c r="F192">
        <f>HYPERLINK("https://scholar.google.com/scholar?q=M.+Lehnen+et+al.+vol.+IAEA-CN-316-2302%2C+TECH%2F1%E2%80%931.+IAEA%2C+London%2C+United+Kingdom+%282023%29.","search")</f>
        <v/>
      </c>
      <c r="G192" s="3" t="n"/>
      <c r="H192" s="3" t="n"/>
      <c r="I192" s="3" t="n"/>
      <c r="J192" s="3" t="n"/>
      <c r="K192" t="inlineStr">
        <is>
          <t>IAEA Regulations in the United Kingdom</t>
        </is>
      </c>
      <c r="L192" t="inlineStr">
        <is>
          <t>The Safe Transport of Radioactive Materials</t>
        </is>
      </c>
      <c r="M192" t="n">
        <v>1966</v>
      </c>
      <c r="N192" t="inlineStr">
        <is>
          <t>10.1016/b978-0-08-011615-0.50018-2</t>
        </is>
      </c>
      <c r="O192" t="inlineStr">
        <is>
          <t>NO</t>
        </is>
      </c>
      <c r="P192" s="3" t="n"/>
    </row>
    <row r="193" ht="42" customHeight="1">
      <c r="A193" t="inlineStr">
        <is>
          <t>V192</t>
        </is>
      </c>
      <c r="B193" t="inlineStr">
        <is>
          <t>2025</t>
        </is>
      </c>
      <c r="C193" t="inlineStr">
        <is>
          <t>Arxiv_CS_2025</t>
        </is>
      </c>
      <c r="D193" t="inlineStr">
        <is>
          <t>2501.13994v1.pdf</t>
        </is>
      </c>
      <c r="E193" s="2" t="inlineStr">
        <is>
          <t>Tianle Zhang, Zhen Liu, Shiguang Wu, Zhiqiang Pu, and Jianqiang Yi. 2022. In- trinsic Reward with Peer Incentives for Cooperative Multi-Agent Reinforcement Learning. In 2022 International Joint Conference on Neural Networks (IJCNN). 1–7. https://doi.org/10.1109/IJCNN55064.2022.9892092</t>
        </is>
      </c>
      <c r="F193">
        <f>HYPERLINK("https://scholar.google.com/scholar?q=Tianle+Zhang%2C+Zhen+Liu%2C+Shiguang+Wu%2C+Zhiqiang+Pu%2C+and+Jianqiang+Yi.+2022.+In-+trinsic+Reward+with+Peer+Incentives+for+Co","search")</f>
        <v/>
      </c>
      <c r="G193" s="3" t="n"/>
      <c r="H193" s="3" t="n"/>
      <c r="I193" s="3" t="n"/>
      <c r="J193" s="3" t="n"/>
      <c r="K193" t="inlineStr">
        <is>
          <t>Intrinsic Reward with Peer Incentives for Cooperative Multi-Agent Reinforcement Learning</t>
        </is>
      </c>
      <c r="L193" t="inlineStr">
        <is>
          <t>2022 International Joint Conference on Neural Networks (IJCNN)</t>
        </is>
      </c>
      <c r="M193" t="n">
        <v>2022</v>
      </c>
      <c r="N193" t="inlineStr">
        <is>
          <t>10.1109/ijcnn55064.2022.9892092</t>
        </is>
      </c>
      <c r="O193" t="inlineStr">
        <is>
          <t>NO</t>
        </is>
      </c>
      <c r="P193" s="3" t="n"/>
    </row>
    <row r="194" ht="42" customHeight="1">
      <c r="A194" t="inlineStr">
        <is>
          <t>V193</t>
        </is>
      </c>
      <c r="B194" t="inlineStr">
        <is>
          <t>2026</t>
        </is>
      </c>
      <c r="C194" t="inlineStr">
        <is>
          <t>Arxiv_General_Latest</t>
        </is>
      </c>
      <c r="D194" t="inlineStr">
        <is>
          <t>2605.27400v1.pdf</t>
        </is>
      </c>
      <c r="E194" s="2" t="inlineStr">
        <is>
          <t>Dongmin Ma, Huma Akram, and I-H Chen. Artificial intelligence in higher education: A cross- cultural examination of students’ behavioral intentions and attitudes. International review of re- search in open and distance learning, 25(3):134–157, 2024.</t>
        </is>
      </c>
      <c r="F194">
        <f>HYPERLINK("https://scholar.google.com/scholar?q=Dongmin+Ma%2C+Huma+Akram%2C+and+I-H+Chen.+Artificial+intelligence+in+higher+education%3A+A+cross-+cultural+examination+of+stud","search")</f>
        <v/>
      </c>
      <c r="G194" s="3" t="n"/>
      <c r="H194" s="3" t="n"/>
      <c r="I194" s="3" t="n"/>
      <c r="J194" s="3" t="n"/>
      <c r="K194" t="inlineStr">
        <is>
          <t>Artificial Intelligence in Higher Education: A Cross-Cultural Examination of Students’ Behavioral Intentions and Attitudes</t>
        </is>
      </c>
      <c r="L194" t="inlineStr">
        <is>
          <t>The International Review of Research in Open and Distributed Learning</t>
        </is>
      </c>
      <c r="M194" t="n">
        <v>2024</v>
      </c>
      <c r="N194" t="inlineStr">
        <is>
          <t>10.19173/irrodl.v25i3.7703</t>
        </is>
      </c>
      <c r="O194" t="inlineStr">
        <is>
          <t>YES</t>
        </is>
      </c>
      <c r="P194" s="3" t="n"/>
    </row>
    <row r="195" ht="42" customHeight="1">
      <c r="A195" t="inlineStr">
        <is>
          <t>V194</t>
        </is>
      </c>
      <c r="B195" t="inlineStr">
        <is>
          <t>2023</t>
        </is>
      </c>
      <c r="C195" t="inlineStr">
        <is>
          <t>Arxiv_CS_2023</t>
        </is>
      </c>
      <c r="D195" t="inlineStr">
        <is>
          <t>2312.10826v1.pdf</t>
        </is>
      </c>
      <c r="E195" s="2" t="inlineStr">
        <is>
          <t>A Spatiotemporal Analysis of Teacher Practices in Supporting Student Learning and Engagement in an AI-Enabled Classroom. In International Conference on Artificial Intelligence in Education. Springer, 450–462. 15  LAK ’24, March 18–22, 2024, Kyoto, Japan Borchers et al.</t>
        </is>
      </c>
      <c r="F195">
        <f>HYPERLINK("https://scholar.google.com/scholar?q=A+Spatiotemporal+Analysis+of+Teacher+Practices+in+Supporting+Student+Learning+and+Engagement+in+an+AI-Enabled+Classroom.","search")</f>
        <v/>
      </c>
      <c r="G195" s="3" t="n"/>
      <c r="H195" s="3" t="n"/>
      <c r="I195" s="3" t="n"/>
      <c r="J195" s="3" t="n"/>
      <c r="K195" t="inlineStr">
        <is>
          <t>A Spatiotemporal Analysis of Teacher Practices in Supporting Student Learning and Engagement in an AI-Enabled Classroom</t>
        </is>
      </c>
      <c r="L195" t="inlineStr">
        <is>
          <t>Lecture Notes in Computer Science</t>
        </is>
      </c>
      <c r="M195" t="n">
        <v>2023</v>
      </c>
      <c r="N195" t="inlineStr">
        <is>
          <t>10.1007/978-3-031-36272-9_37</t>
        </is>
      </c>
      <c r="O195" t="inlineStr">
        <is>
          <t>NO</t>
        </is>
      </c>
      <c r="P195" s="3" t="n"/>
    </row>
    <row r="196" ht="42" customHeight="1">
      <c r="A196" t="inlineStr">
        <is>
          <t>V195</t>
        </is>
      </c>
      <c r="B196" t="inlineStr">
        <is>
          <t>2016</t>
        </is>
      </c>
      <c r="C196" t="inlineStr">
        <is>
          <t>NeurIPS_2016</t>
        </is>
      </c>
      <c r="D196" t="inlineStr">
        <is>
          <t>390e982518a50e280d8e2b535462ec1f-Paper.pdf</t>
        </is>
      </c>
      <c r="E196" s="2" t="inlineStr">
        <is>
          <t>Joan Bruna, Wojciech Zaremba, Arthur Szlam, and Yann LeCun. Spectral networks and locally connected networks on graphs. arXiv.org, 2014.</t>
        </is>
      </c>
      <c r="F196">
        <f>HYPERLINK("https://scholar.google.com/scholar?q=Joan+Bruna%2C+Wojciech+Zaremba%2C+Arthur+Szlam%2C+and+Yann+LeCun.+Spectral+networks+and+locally+connected+networks+on+graphs.+","search")</f>
        <v/>
      </c>
      <c r="G196" s="3" t="n"/>
      <c r="H196" s="3" t="n"/>
      <c r="I196" s="3" t="n"/>
      <c r="J196" s="3" t="n"/>
      <c r="K196" t="inlineStr">
        <is>
          <t>A Mathematical Motivation for Complex-Valued Convolutional Networks</t>
        </is>
      </c>
      <c r="L196" t="inlineStr">
        <is>
          <t>Neural Computation</t>
        </is>
      </c>
      <c r="M196" t="n">
        <v>2016</v>
      </c>
      <c r="N196" t="inlineStr">
        <is>
          <t>10.1162/neco_a_00824</t>
        </is>
      </c>
      <c r="O196" t="inlineStr">
        <is>
          <t>NO</t>
        </is>
      </c>
      <c r="P196" s="3" t="n"/>
    </row>
    <row r="197" ht="42" customHeight="1">
      <c r="A197" t="inlineStr">
        <is>
          <t>V196</t>
        </is>
      </c>
      <c r="B197" t="inlineStr">
        <is>
          <t>2025</t>
        </is>
      </c>
      <c r="C197" t="inlineStr">
        <is>
          <t>NeurIPS_2025</t>
        </is>
      </c>
      <c r="D197" t="inlineStr">
        <is>
          <t>0042db0dff33e7c48979e2bdf0799896-Paper-Conference.pdf</t>
        </is>
      </c>
      <c r="E197" s="2" t="inlineStr">
        <is>
          <t>N. Tumanyan, M. Geyer, S. Bagon, and T. Dekel. Plug-and-play diffusion features for text- driven image-to-image translation. In Proceedings of the IEEE/CVF Conference on Computer Vision and Pattern Recognition, pages 1921–1930, 2023. 12</t>
        </is>
      </c>
      <c r="F197">
        <f>HYPERLINK("https://scholar.google.com/scholar?q=N.+Tumanyan%2C+M.+Geyer%2C+S.+Bagon%2C+and+T.+Dekel.+Plug-and-play+diffusion+features+for+text-+driven+image-to-image+translat","search")</f>
        <v/>
      </c>
      <c r="G197" s="3" t="n"/>
      <c r="H197" s="3" t="n"/>
      <c r="I197" s="3" t="n"/>
      <c r="J197" s="3" t="n"/>
      <c r="K197" t="inlineStr">
        <is>
          <t>Plug-and-Play Diffusion Features for Text-Driven Image-to-Image Translation</t>
        </is>
      </c>
      <c r="L197" t="inlineStr">
        <is>
          <t>2023 IEEE/CVF Conference on Computer Vision and Pattern Recognition (CVPR)</t>
        </is>
      </c>
      <c r="M197" t="n">
        <v>2023</v>
      </c>
      <c r="N197" t="inlineStr">
        <is>
          <t>10.1109/cvpr52729.2023.00191</t>
        </is>
      </c>
      <c r="O197" t="inlineStr">
        <is>
          <t>YES</t>
        </is>
      </c>
      <c r="P197" s="3" t="n"/>
    </row>
    <row r="198" ht="42" customHeight="1">
      <c r="A198" t="inlineStr">
        <is>
          <t>V197</t>
        </is>
      </c>
      <c r="B198" t="inlineStr">
        <is>
          <t>2023</t>
        </is>
      </c>
      <c r="C198" t="inlineStr">
        <is>
          <t>Arxiv_CS_2023</t>
        </is>
      </c>
      <c r="D198" t="inlineStr">
        <is>
          <t>2312.03519v1.pdf</t>
        </is>
      </c>
      <c r="E198" s="2" t="inlineStr">
        <is>
          <t>Dong, J., Ota, K. and Dong, M., 2021. UAV-based real-time survivor detection system in post-disaster search and rescue operations. IEEE Journal on Miniaturization for Air and Space Systems, 2(4), pp.209-219.</t>
        </is>
      </c>
      <c r="F198">
        <f>HYPERLINK("https://scholar.google.com/scholar?q=Dong%2C+J.%2C+Ota%2C+K.+and+Dong%2C+M.%2C+2021.+UAV-based+real-time+survivor+detection+system+in+post-disaster+search+and+rescue+o","search")</f>
        <v/>
      </c>
      <c r="G198" s="3" t="n"/>
      <c r="H198" s="3" t="n"/>
      <c r="I198" s="3" t="n"/>
      <c r="J198" s="3" t="n"/>
      <c r="K198" t="inlineStr">
        <is>
          <t>UAV-Based Real-Time Survivor Detection System in Post-Disaster Search and Rescue Operations</t>
        </is>
      </c>
      <c r="L198" t="inlineStr">
        <is>
          <t>IEEE Journal on Miniaturization for Air and Space Systems</t>
        </is>
      </c>
      <c r="M198" t="n">
        <v>2021</v>
      </c>
      <c r="N198" t="inlineStr">
        <is>
          <t>10.1109/jmass.2021.3083659</t>
        </is>
      </c>
      <c r="O198" t="inlineStr">
        <is>
          <t>NO</t>
        </is>
      </c>
      <c r="P198" s="3" t="n"/>
    </row>
    <row r="199" ht="42" customHeight="1">
      <c r="A199" t="inlineStr">
        <is>
          <t>V198</t>
        </is>
      </c>
      <c r="B199" t="inlineStr">
        <is>
          <t>2023</t>
        </is>
      </c>
      <c r="C199" t="inlineStr">
        <is>
          <t>NeurIPS_2023</t>
        </is>
      </c>
      <c r="D199" t="inlineStr">
        <is>
          <t>03a9a9c1e15850439653bb971a4ad4b3-Paper-Conference.pdf</t>
        </is>
      </c>
      <c r="E199" s="2" t="inlineStr">
        <is>
          <t>[32] B. K. Miller, C. Weniger, and P. Forré. Contrastive neural ratio estimation. Advances in Neural Information Processing Systems, 35:3262–3278, 2022.</t>
        </is>
      </c>
      <c r="F199">
        <f>HYPERLINK("https://scholar.google.com/scholar?q=%5B32%5D+B.+K.+Miller%2C+C.+Weniger%2C+and+P.+Forr%C3%A9.+Contrastive+neural+ratio+estimation.+Advances+in+Neural+Information+Process","search")</f>
        <v/>
      </c>
      <c r="G199" s="3" t="n"/>
      <c r="H199" s="3" t="n"/>
      <c r="I199" s="3" t="n"/>
      <c r="J199" s="3" t="n"/>
      <c r="K199" t="inlineStr">
        <is>
          <t>Contrastive Neural Ratio Estimation</t>
        </is>
      </c>
      <c r="L199" t="inlineStr">
        <is>
          <t>Advances in Neural Information Processing Systems 35</t>
        </is>
      </c>
      <c r="M199" t="n">
        <v>2022</v>
      </c>
      <c r="N199" t="inlineStr">
        <is>
          <t>10.52202/068431-0236</t>
        </is>
      </c>
      <c r="O199" t="inlineStr">
        <is>
          <t>NO</t>
        </is>
      </c>
      <c r="P199" s="3" t="n"/>
    </row>
    <row r="200" ht="42" customHeight="1">
      <c r="A200" t="inlineStr">
        <is>
          <t>V199</t>
        </is>
      </c>
      <c r="B200" t="inlineStr">
        <is>
          <t>2025</t>
        </is>
      </c>
      <c r="C200" t="inlineStr">
        <is>
          <t>Arxiv_CS_2025</t>
        </is>
      </c>
      <c r="D200" t="inlineStr">
        <is>
          <t>2501.02471v2.pdf</t>
        </is>
      </c>
      <c r="E200" s="2" t="inlineStr">
        <is>
          <t>ChatGLM: A Family of Large Language Models from GLM-130B to GLM-4 All Tools. arXiv:2406.12793. Gu, Y.; Tinn, R.; Cheng, H.; Lucas, M.; Usuyama, N.; Liu, X.; Naumann, T.; Gao, J.; and Poon, H. 2021. Domain- specific language model pretraining for biomedical natural language processing. ACM Transactions on Computing for Healthcare (HEALTH), 3(1): 1–23. Han, T.; Adams, L. C.; Papaioannou, J.-M.; Grundmann, P.; Oberhauser, T.; L¨oser, A.; Truhn, D.; and Bressem, K. K.</t>
        </is>
      </c>
      <c r="F200">
        <f>HYPERLINK("https://scholar.google.com/scholar?q=ChatGLM%3A+A+Family+of+Large+Language+Models+from+GLM-130B+to+GLM-4+All+Tools.+arXiv%3A2406.12793.+Gu%2C+Y.%3B+Tinn%2C+R.%3B+Cheng%2C+","search")</f>
        <v/>
      </c>
      <c r="G200" s="3" t="n"/>
      <c r="H200" s="3" t="n"/>
      <c r="I200" s="3" t="n"/>
      <c r="J200" s="3" t="n"/>
      <c r="K200" t="inlineStr">
        <is>
          <t>Domain-Specific Language Model Pretraining for Biomedical Natural Language Processing</t>
        </is>
      </c>
      <c r="L200" t="inlineStr">
        <is>
          <t>ACM Transactions on Computing for Healthcare</t>
        </is>
      </c>
      <c r="M200" t="n">
        <v>2021</v>
      </c>
      <c r="N200" t="inlineStr">
        <is>
          <t>10.1145/3458754</t>
        </is>
      </c>
      <c r="O200" t="inlineStr">
        <is>
          <t>NO</t>
        </is>
      </c>
      <c r="P200" s="3" t="n"/>
    </row>
    <row r="201" ht="42" customHeight="1">
      <c r="A201" t="inlineStr">
        <is>
          <t>V200</t>
        </is>
      </c>
      <c r="B201" t="inlineStr">
        <is>
          <t>2023</t>
        </is>
      </c>
      <c r="C201" t="inlineStr">
        <is>
          <t>NeurIPS_2023</t>
        </is>
      </c>
      <c r="D201" t="inlineStr">
        <is>
          <t>0aa800df4298539770b57824afc77a89-Paper-Conference.pdf</t>
        </is>
      </c>
      <c r="E201" s="2" t="inlineStr">
        <is>
          <t>S. Ghadimi and M. Wang. Approximation methods for bilevel programming. arXiv preprint arXiv:1802.02246, 2018.</t>
        </is>
      </c>
      <c r="F201">
        <f>HYPERLINK("https://scholar.google.com/scholar?q=S.+Ghadimi+and+M.+Wang.+Approximation+methods+for+bilevel+programming.+arXiv+preprint+arXiv%3A1802.02246%2C+2018.","search")</f>
        <v/>
      </c>
      <c r="G201" s="3" t="n"/>
      <c r="H201" s="3" t="n"/>
      <c r="I201" s="3" t="n"/>
      <c r="J201" s="3" t="n"/>
      <c r="K201" t="inlineStr">
        <is>
          <t>Comment on the Paper Titled ’The Origin of Quantum Mechanical Statistics: Insights from Research on Human Language’ (arXiv preprint arXiv:2407.14924, 2024)</t>
        </is>
      </c>
      <c r="L201" t="n">
        <v/>
      </c>
      <c r="M201" t="n">
        <v>2024</v>
      </c>
      <c r="N201" t="inlineStr">
        <is>
          <t>10.20944/preprints202411.2377.v1</t>
        </is>
      </c>
      <c r="O201" t="inlineStr">
        <is>
          <t>YES</t>
        </is>
      </c>
      <c r="P201" s="3" t="n"/>
    </row>
  </sheetData>
  <autoFilter ref="A1:P201"/>
  <dataValidations count="2">
    <dataValidation sqref="G2:G201" showDropDown="0" showInputMessage="0" showErrorMessage="0" allowBlank="1" errorTitle="Invalid entry" error="Select a value from the list." type="list">
      <formula1>"Real work,Fabrication,Undecided"</formula1>
    </dataValidation>
    <dataValidation sqref="H2:H201" showDropDown="0" showInputMessage="0" showErrorMessage="0" allowBlank="1" errorTitle="Invalid entry" error="Select a value from the list." type="list">
      <formula1>"Correct match,Wrong record matched,Undecided"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00" customWidth="1" min="1" max="1"/>
  </cols>
  <sheetData>
    <row r="1">
      <c r="A1" t="inlineStr">
        <is>
          <t>AUDIT OF THE VERIFIED STRATUM - CODING SHEET</t>
        </is>
      </c>
    </row>
    <row r="2">
      <c r="A2" t="inlineStr"/>
    </row>
    <row r="3">
      <c r="A3" t="inlineStr">
        <is>
          <t>Rows: 200, drawn from the 22,172 strings the automated pass labelled</t>
        </is>
      </c>
    </row>
    <row r="4">
      <c r="A4" t="inlineStr">
        <is>
          <t>Verified. Proportional stratified random sample across the nine venue-year strata,</t>
        </is>
      </c>
    </row>
    <row r="5">
      <c r="A5" t="inlineStr">
        <is>
          <t>seed 20260726, reproducible from code/build_audit_sheets.py.</t>
        </is>
      </c>
    </row>
    <row r="6">
      <c r="A6" t="inlineStr">
        <is>
          <t>Row order randomised, so if the audit stops early the completed rows remain an</t>
        </is>
      </c>
    </row>
    <row r="7">
      <c r="A7" t="inlineStr">
        <is>
          <t>unbiased subsample. The rule-of-three bound applies at the sample size actually coded:</t>
        </is>
      </c>
    </row>
    <row r="8">
      <c r="A8" t="inlineStr">
        <is>
          <t xml:space="preserve">   0 fabrications in 200 -&gt; 95% upper bound 1.5%</t>
        </is>
      </c>
    </row>
    <row r="9">
      <c r="A9" t="inlineStr">
        <is>
          <t xml:space="preserve">   0 fabrications in 150 -&gt; 95% upper bound 2.0%</t>
        </is>
      </c>
    </row>
    <row r="10">
      <c r="A10" t="inlineStr">
        <is>
          <t xml:space="preserve">   0 fabrications in 100 -&gt; 95% upper bound 3.0%</t>
        </is>
      </c>
    </row>
    <row r="11">
      <c r="A11" t="inlineStr"/>
    </row>
    <row r="12">
      <c r="A12" t="inlineStr">
        <is>
          <t>WHY THIS SHEET EXISTS</t>
        </is>
      </c>
    </row>
    <row r="13">
      <c r="A13" t="inlineStr">
        <is>
          <t>The automated pass accepted the first record Crossref returned without comparing</t>
        </is>
      </c>
    </row>
    <row r="14">
      <c r="A14" t="inlineStr">
        <is>
          <t>title, authors or year. A fabricated reference would therefore be labelled Verified</t>
        </is>
      </c>
    </row>
    <row r="15">
      <c r="A15" t="inlineStr">
        <is>
          <t>in almost every case. This sample is the only evidence bearing on how often that</t>
        </is>
      </c>
    </row>
    <row r="16">
      <c r="A16" t="inlineStr">
        <is>
          <t>happened, so it carries the fabrication bound on its own.</t>
        </is>
      </c>
    </row>
    <row r="17">
      <c r="A17" t="inlineStr"/>
    </row>
    <row r="18">
      <c r="A18" t="inlineStr">
        <is>
          <t>PROCEDURE, per row</t>
        </is>
      </c>
    </row>
    <row r="19">
      <c r="A19" t="inlineStr">
        <is>
          <t>1. Read the string. Ignore the four Matched columns for now - they sit to the right</t>
        </is>
      </c>
    </row>
    <row r="20">
      <c r="A20" t="inlineStr">
        <is>
          <t xml:space="preserve">   precisely so you do not read them first.</t>
        </is>
      </c>
    </row>
    <row r="21">
      <c r="A21" t="inlineStr">
        <is>
          <t>2. Search for the cited work independently. Fill Verdict_Exists:</t>
        </is>
      </c>
    </row>
    <row r="22">
      <c r="A22" t="inlineStr">
        <is>
          <t xml:space="preserve">   Real work   - the cited work exists and the string describes it.</t>
        </is>
      </c>
    </row>
    <row r="23">
      <c r="A23" t="inlineStr">
        <is>
          <t xml:space="preserve">   Fabrication - no such work exists.</t>
        </is>
      </c>
    </row>
    <row r="24">
      <c r="A24" t="inlineStr">
        <is>
          <t xml:space="preserve">   Undecided   - state why in Notes.</t>
        </is>
      </c>
    </row>
    <row r="25">
      <c r="A25" t="inlineStr">
        <is>
          <t>3. Now read the Matched columns and fill Verdict_Match:</t>
        </is>
      </c>
    </row>
    <row r="26">
      <c r="A26" t="inlineStr">
        <is>
          <t xml:space="preserve">   Correct match        - the retrieved record is the cited work.</t>
        </is>
      </c>
    </row>
    <row r="27">
      <c r="A27" t="inlineStr">
        <is>
          <t xml:space="preserve">   Wrong record matched - the retrieved record is a different publication.</t>
        </is>
      </c>
    </row>
    <row r="28">
      <c r="A28" t="inlineStr">
        <is>
          <t xml:space="preserve">   This column measures the precision of the automated pass and is expected to</t>
        </is>
      </c>
    </row>
    <row r="29">
      <c r="A29" t="inlineStr">
        <is>
          <t xml:space="preserve">   produce findings independently of the fabrication question.</t>
        </is>
      </c>
    </row>
    <row r="30">
      <c r="A30" t="inlineStr"/>
    </row>
    <row r="31">
      <c r="A31" t="inlineStr">
        <is>
          <t>DOUBLE CODING</t>
        </is>
      </c>
    </row>
    <row r="32">
      <c r="A32" t="inlineStr">
        <is>
          <t>Rows marked YES are coded independently by a second coder. Copy the sheet, delete</t>
        </is>
      </c>
    </row>
    <row r="33">
      <c r="A33" t="inlineStr">
        <is>
          <t>the filled columns, and give the copy to the second coder.</t>
        </is>
      </c>
    </row>
    <row r="34">
      <c r="A34" t="inlineStr"/>
    </row>
    <row r="35">
      <c r="A35" t="inlineStr">
        <is>
          <t>Record every verdict yourself. Do not fill this sheet programmatically.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2026-07-26T20:51:20Z</dcterms:created>
  <dcterms:modified xmlns:dcterms="http://purl.org/dc/terms/" xmlns:xsi="http://www.w3.org/2001/XMLSchema-instance" xsi:type="dcterms:W3CDTF">2026-07-26T20:51:20Z</dcterms:modified>
</cp:coreProperties>
</file>