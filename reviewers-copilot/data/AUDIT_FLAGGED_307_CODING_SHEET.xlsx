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Protocol" sheetId="2" state="visible" r:id="rId2"/>
  </sheets>
  <definedNames>
    <definedName name="_xlnm._FilterDatabase" localSheetId="0" hidden="1">'Coding'!$A$1:$L$308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30" customWidth="1" min="4" max="4"/>
    <col width="70" customWidth="1" min="5" max="5"/>
    <col width="9" customWidth="1" min="6" max="6"/>
    <col width="22" customWidth="1" min="7" max="7"/>
    <col width="30" customWidth="1" min="8" max="8"/>
    <col width="22" customWidth="1" min="9" max="9"/>
    <col width="40" customWidth="1" min="10" max="10"/>
    <col width="13" customWidth="1" min="11" max="11"/>
    <col width="10" customWidth="1" min="12" max="12"/>
  </cols>
  <sheetData>
    <row r="1" ht="30" customHeight="1">
      <c r="A1" s="1" t="inlineStr">
        <is>
          <t>ID</t>
        </is>
      </c>
      <c r="B1" s="1" t="inlineStr">
        <is>
          <t>Cohort</t>
        </is>
      </c>
      <c r="C1" s="1" t="inlineStr">
        <is>
          <t>Dataset</t>
        </is>
      </c>
      <c r="D1" s="1" t="inlineStr">
        <is>
          <t>Paper File</t>
        </is>
      </c>
      <c r="E1" s="1" t="inlineStr">
        <is>
          <t>Original Reference</t>
        </is>
      </c>
      <c r="F1" s="1" t="inlineStr">
        <is>
          <t>Search</t>
        </is>
      </c>
      <c r="G1" s="1" t="inlineStr">
        <is>
          <t>Verdict</t>
        </is>
      </c>
      <c r="H1" s="1" t="inlineStr">
        <is>
          <t>Evidence (URL or DOI)</t>
        </is>
      </c>
      <c r="I1" s="1" t="inlineStr">
        <is>
          <t>Indexed in</t>
        </is>
      </c>
      <c r="J1" s="1" t="inlineStr">
        <is>
          <t>Notes</t>
        </is>
      </c>
      <c r="K1" s="1" t="inlineStr">
        <is>
          <t>Double_Coded</t>
        </is>
      </c>
      <c r="L1" s="1" t="inlineStr">
        <is>
          <t>Coder</t>
        </is>
      </c>
    </row>
    <row r="2" ht="42" customHeight="1">
      <c r="A2" t="inlineStr">
        <is>
          <t>F001</t>
        </is>
      </c>
      <c r="B2" t="inlineStr">
        <is>
          <t>2026</t>
        </is>
      </c>
      <c r="C2" t="inlineStr">
        <is>
          <t>Arxiv_General_Latest</t>
        </is>
      </c>
      <c r="D2" t="inlineStr">
        <is>
          <t>2604.17794v1.pdf</t>
        </is>
      </c>
      <c r="E2" s="2" t="inlineStr">
        <is>
          <t xml:space="preserve">Phù hợp ngữ cảnh văn hóa (Cultural Context): Đánh  giá mức độ phù hợp với bối cảnh văn hóa Việt Nam.     - 5 điểm: Lời giải hoàn toàn phù hợp với cách trình bày  thường thấy trong sách giáo khoa và giáo viên tiểu học Việt  Nam; dùng dạng câu “Bài giải: …”, “Vậy số … là: …”, v.v.    - 4 điểm: Chủ yếu phù hợp; có vài cách diễn đạt hơi  “tây” nhưng vẫn chấp nhận được với học sinh Việt Nam.     - 3 điểm: Lời giải chấp nhận được nhưng nhiều chỗ  mang phong cách nước ngoài (ví dụ: thuần tiếng Anh, ký </t>
        </is>
      </c>
      <c r="F2">
        <f>HYPERLINK("https://scholar.google.com/scholar?q=Ph%C3%B9+h%E1%BB%A3p+ng%E1%BB%AF+c%E1%BA%A3nh+v%C4%83n+h%C3%B3a+%28Cultural+Context%29%3A+%C4%90%C3%A1nh++gi%C3%A1+m%E1%BB%A9c+%C4%91%E1%BB%99+ph%C3%B9+h%E1%BB%A3p+v%E1%BB%9Bi+b%E1%BB%91i+c%E1%BA%A3nh+v%C4%83n+h%C3%B3a+Vi%E1%BB%87t+Nam.+++++-+5+%C4%91i%E1%BB%83m%3A+L%E1%BB%9Di+g","search")</f>
        <v/>
      </c>
      <c r="G2" s="3" t="n"/>
      <c r="H2" s="3" t="n"/>
      <c r="I2" s="3" t="n"/>
      <c r="J2" s="3" t="n"/>
      <c r="K2" t="inlineStr">
        <is>
          <t>NO</t>
        </is>
      </c>
      <c r="L2" s="3" t="n"/>
    </row>
    <row r="3" ht="42" customHeight="1">
      <c r="A3" t="inlineStr">
        <is>
          <t>F002</t>
        </is>
      </c>
      <c r="B3" t="inlineStr">
        <is>
          <t>2016</t>
        </is>
      </c>
      <c r="C3" t="inlineStr">
        <is>
          <t>Arxiv_Bio_2016</t>
        </is>
      </c>
      <c r="D3" t="inlineStr">
        <is>
          <t>1606.06249v1.pdf</t>
        </is>
      </c>
      <c r="E3" s="2" t="inlineStr">
        <is>
          <t>Barulli, D., &amp; Stern, Y. (2013). Efficiency, capacity, compensation, maintenance, plasticity: emerging concepts in  cognitive reserve. ​ Trends in Cognitive Sciences​ , ​ 17​ (10), 502–509.  Bennett, I. J., Rivera, H. G., &amp; Rypma, B. (2013). Isolating age­group differences in working memory load­related neural  activity: assessing the contribution of working memory capacity using a partial­trial fMRI method. ​ NeuroImage​ , ​ 72​ ,  20–32.  Callicott, J. H., Mattay, V. S., Bertolino, A., Finn, K</t>
        </is>
      </c>
      <c r="F3">
        <f>HYPERLINK("https://scholar.google.com/scholar?q=Barulli%2C%C2%A0D.%2C%C2%A0%26%C2%A0Stern%2C%C2%A0Y.%C2%A0%282013%29.%C2%A0Efficiency%2C%C2%A0capacity%2C%C2%A0compensation%2C%C2%A0maintenance%2C%C2%A0plasticity%3A%C2%A0emerging%C2%A0concepts%C2%A0in%C2%A0+cogn","search")</f>
        <v/>
      </c>
      <c r="G3" s="3" t="n"/>
      <c r="H3" s="3" t="n"/>
      <c r="I3" s="3" t="n"/>
      <c r="J3" s="3" t="n"/>
      <c r="K3" t="inlineStr">
        <is>
          <t>NO</t>
        </is>
      </c>
      <c r="L3" s="3" t="n"/>
    </row>
    <row r="4" ht="42" customHeight="1">
      <c r="A4" t="inlineStr">
        <is>
          <t>F003</t>
        </is>
      </c>
      <c r="B4" t="inlineStr">
        <is>
          <t>2016</t>
        </is>
      </c>
      <c r="C4" t="inlineStr">
        <is>
          <t>NeurIPS_2016</t>
        </is>
      </c>
      <c r="D4" t="inlineStr">
        <is>
          <t>2823f4797102ce1a1aec05359cc16dd9-Paper.pdf</t>
        </is>
      </c>
      <c r="E4" s="2" t="inlineStr">
        <is>
          <t>Yangqing Jia, Evan Shelhamer, Jeff Donahue, Sergey Karayev, Jonathan Long, Ross Girshick, Sergio Guadarrama, and Trevor Darrell. Caffe: Convolutional architecture for fast feature embedding. In ACM MM, 2014.</t>
        </is>
      </c>
      <c r="F4">
        <f>HYPERLINK("https://scholar.google.com/scholar?q=Yangqing+Jia%2C+Evan+Shelhamer%2C+Jeff+Donahue%2C+Sergey+Karayev%2C+Jonathan+Long%2C+Ross+Girshick%2C+Sergio+Guadarrama%2C+and+Trevor+","search")</f>
        <v/>
      </c>
      <c r="G4" s="3" t="n"/>
      <c r="H4" s="3" t="n"/>
      <c r="I4" s="3" t="n"/>
      <c r="J4" s="3" t="n"/>
      <c r="K4" t="inlineStr">
        <is>
          <t>NO</t>
        </is>
      </c>
      <c r="L4" s="3" t="n"/>
    </row>
    <row r="5" ht="42" customHeight="1">
      <c r="A5" t="inlineStr">
        <is>
          <t>F004</t>
        </is>
      </c>
      <c r="B5" t="inlineStr">
        <is>
          <t>2023</t>
        </is>
      </c>
      <c r="C5" t="inlineStr">
        <is>
          <t>NeurIPS_2023</t>
        </is>
      </c>
      <c r="D5" t="inlineStr">
        <is>
          <t>09d9a13f7018110cfb439c06b07940a2-Paper-Conference.pdf</t>
        </is>
      </c>
      <c r="E5" s="2" t="inlineStr">
        <is>
          <t>Dilin Wang, Meng Li, Lemeng Wu, Vikas Chandra, and Qiang Liu. Energy-aware neural architecture optimization with fast splitting steepest descent. CoRR, abs/1910.03103, 2019.</t>
        </is>
      </c>
      <c r="F5">
        <f>HYPERLINK("https://scholar.google.com/scholar?q=Dilin+Wang%2C+Meng+Li%2C+Lemeng+Wu%2C+Vikas+Chandra%2C+and+Qiang+Liu.+Energy-aware+neural+architecture+optimization+with+fast+sp","search")</f>
        <v/>
      </c>
      <c r="G5" s="3" t="n"/>
      <c r="H5" s="3" t="n"/>
      <c r="I5" s="3" t="n"/>
      <c r="J5" s="3" t="n"/>
      <c r="K5" t="inlineStr">
        <is>
          <t>NO</t>
        </is>
      </c>
      <c r="L5" s="3" t="n"/>
    </row>
    <row r="6" ht="42" customHeight="1">
      <c r="A6" t="inlineStr">
        <is>
          <t>F005</t>
        </is>
      </c>
      <c r="B6" t="inlineStr">
        <is>
          <t>2025</t>
        </is>
      </c>
      <c r="C6" t="inlineStr">
        <is>
          <t>Arxiv_CS_2025</t>
        </is>
      </c>
      <c r="D6" t="inlineStr">
        <is>
          <t>2501.13994v1.pdf</t>
        </is>
      </c>
      <c r="E6" s="2" t="inlineStr">
        <is>
          <t>UAV dynamic object tracking with Lightweight Deep Vision Reinforcement Learning. Algorithms 16, 5 (2023), 227.</t>
        </is>
      </c>
      <c r="F6">
        <f>HYPERLINK("https://scholar.google.com/scholar?q=UAV+dynamic+object+tracking+with+Lightweight+Deep+Vision+Reinforcement+Learning.+Algorithms+16%2C+5+%282023%29%2C+227.","search")</f>
        <v/>
      </c>
      <c r="G6" s="3" t="n"/>
      <c r="H6" s="3" t="n"/>
      <c r="I6" s="3" t="n"/>
      <c r="J6" s="3" t="n"/>
      <c r="K6" t="inlineStr">
        <is>
          <t>NO</t>
        </is>
      </c>
      <c r="L6" s="3" t="n"/>
    </row>
    <row r="7" ht="42" customHeight="1">
      <c r="A7" t="inlineStr">
        <is>
          <t>F006</t>
        </is>
      </c>
      <c r="B7" t="inlineStr">
        <is>
          <t>2023</t>
        </is>
      </c>
      <c r="C7" t="inlineStr">
        <is>
          <t>Arxiv_CS_2023</t>
        </is>
      </c>
      <c r="D7" t="inlineStr">
        <is>
          <t>2310.10967v1.pdf</t>
        </is>
      </c>
      <c r="E7" s="2" t="inlineStr">
        <is>
          <t>The design and implementation of xiaoice, an empathetic social chatbot. Comput. Linguistics, 46(1):53–93.  A Response Performance on Fine-tuned Model Table 10 and Table 11 present the single dataset fine-tuning results on ALBEF and GIT. From the GIT results, it is evident that the outcomes of fine- tuning on EXMODD surpass those of Image-Chat in most cases. In ALBEF, it is observed that across all sizes the Coherence results of fine-tuning on EXMODD outperform those of Image-Chat. Table 12 and T</t>
        </is>
      </c>
      <c r="F7">
        <f>HYPERLINK("https://scholar.google.com/scholar?q=The+design+and+implementation+of+xiaoice%2C+an+empathetic+social+chatbot.+Comput.+Linguistics%2C+46%281%29%3A53%E2%80%9393.++A+Response+Pe","search")</f>
        <v/>
      </c>
      <c r="G7" s="3" t="n"/>
      <c r="H7" s="3" t="n"/>
      <c r="I7" s="3" t="n"/>
      <c r="J7" s="3" t="n"/>
      <c r="K7" t="inlineStr">
        <is>
          <t>NO</t>
        </is>
      </c>
      <c r="L7" s="3" t="n"/>
    </row>
    <row r="8" ht="42" customHeight="1">
      <c r="A8" t="inlineStr">
        <is>
          <t>F007</t>
        </is>
      </c>
      <c r="B8" t="inlineStr">
        <is>
          <t>2025</t>
        </is>
      </c>
      <c r="C8" t="inlineStr">
        <is>
          <t>Arxiv_CS_2025</t>
        </is>
      </c>
      <c r="D8" t="inlineStr">
        <is>
          <t>2501.17555v1.pdf</t>
        </is>
      </c>
      <c r="E8" s="2" t="inlineStr">
        <is>
          <t>J. D. Mizrahi, R. Surana, J. W. Valle, and R. T. Shroff, “Pancreatic cancer,” The Lancet, vol. 395, no. 10242, pp. 2008–2020, 2020.</t>
        </is>
      </c>
      <c r="F8">
        <f>HYPERLINK("https://scholar.google.com/scholar?q=J.+D.+Mizrahi%2C+R.+Surana%2C+J.+W.+Valle%2C+and+R.+T.+Shroff%2C+%E2%80%9CPancreatic+cancer%2C%E2%80%9D+The+Lancet%2C+vol.+395%2C+no.+10242%2C+pp.+2008%E2%80%93","search")</f>
        <v/>
      </c>
      <c r="G8" s="3" t="n"/>
      <c r="H8" s="3" t="n"/>
      <c r="I8" s="3" t="n"/>
      <c r="J8" s="3" t="n"/>
      <c r="K8" t="inlineStr">
        <is>
          <t>NO</t>
        </is>
      </c>
      <c r="L8" s="3" t="n"/>
    </row>
    <row r="9" ht="42" customHeight="1">
      <c r="A9" t="inlineStr">
        <is>
          <t>F008</t>
        </is>
      </c>
      <c r="B9" t="inlineStr">
        <is>
          <t>2023</t>
        </is>
      </c>
      <c r="C9" t="inlineStr">
        <is>
          <t>NeurIPS_2023</t>
        </is>
      </c>
      <c r="D9" t="inlineStr">
        <is>
          <t>0a003511b09274348b8117f5f3b94c93-Paper-Conference.pdf</t>
        </is>
      </c>
      <c r="E9" s="2" t="inlineStr">
        <is>
          <t>Robin Rombach, Patrick Esser, and Björn Ommer. Geometry-free view synthesis: Transformers and no 3d priors, 2021.</t>
        </is>
      </c>
      <c r="F9">
        <f>HYPERLINK("https://scholar.google.com/scholar?q=Robin+Rombach%2C+Patrick+Esser%2C+and+Bj%C3%B6rn+Ommer.+Geometry-free+view+synthesis%3A+Transformers+and+no+3d+priors%2C+2021.","search")</f>
        <v/>
      </c>
      <c r="G9" s="3" t="n"/>
      <c r="H9" s="3" t="n"/>
      <c r="I9" s="3" t="n"/>
      <c r="J9" s="3" t="n"/>
      <c r="K9" t="inlineStr">
        <is>
          <t>NO</t>
        </is>
      </c>
      <c r="L9" s="3" t="n"/>
    </row>
    <row r="10" ht="42" customHeight="1">
      <c r="A10" t="inlineStr">
        <is>
          <t>F009</t>
        </is>
      </c>
      <c r="B10" t="inlineStr">
        <is>
          <t>2016</t>
        </is>
      </c>
      <c r="C10" t="inlineStr">
        <is>
          <t>Arxiv_Bio_2016</t>
        </is>
      </c>
      <c r="D10" t="inlineStr">
        <is>
          <t>1606.01932v2.pdf</t>
        </is>
      </c>
      <c r="E10" s="2" t="inlineStr">
        <is>
          <t>E. Barreto, B. Hunt, E. Ott, and P. So, “Synchronization in networks of networks: The onset of coherent collective behavior in systems of interacting populations of heterogeneous oscillators,” Phys. Rev. E, vol. 77, Feb. 2008, Art. no. 036107.</t>
        </is>
      </c>
      <c r="F10">
        <f>HYPERLINK("https://scholar.google.com/scholar?q=E.+Barreto%2C+B.+Hunt%2C+E.+Ott%2C+and+P.+So%2C+%E2%80%9CSynchronization+in+networks+of+networks%3A+The+onset+of+coherent+collective+behav","search")</f>
        <v/>
      </c>
      <c r="G10" s="3" t="n"/>
      <c r="H10" s="3" t="n"/>
      <c r="I10" s="3" t="n"/>
      <c r="J10" s="3" t="n"/>
      <c r="K10" t="inlineStr">
        <is>
          <t>NO</t>
        </is>
      </c>
      <c r="L10" s="3" t="n"/>
    </row>
    <row r="11" ht="42" customHeight="1">
      <c r="A11" t="inlineStr">
        <is>
          <t>F010</t>
        </is>
      </c>
      <c r="B11" t="inlineStr">
        <is>
          <t>2023</t>
        </is>
      </c>
      <c r="C11" t="inlineStr">
        <is>
          <t>Arxiv_Bio_2023</t>
        </is>
      </c>
      <c r="D11" t="inlineStr">
        <is>
          <t>2309.05771v5.pdf</t>
        </is>
      </c>
      <c r="E11" s="2" t="inlineStr">
        <is>
          <t>Sam Kovaka et al., “Uncalled4 improves nanopore DNA and RNA modification detection via fast and accurate signal alignment,” bioRxiv, 2024. 5  Supplementary Material for RawHash2: Mapping Raw Nanopore Signals Using Hash-Based Seeding and Adaptive Quantization A. RawHash Overview RawHash2 builds improvements over RawHash [1], a mechanism that provides the first hash-based similarity identification between a raw signal and a reference genome accurately and quickly. We show the overview of RawHash i</t>
        </is>
      </c>
      <c r="F11">
        <f>HYPERLINK("https://scholar.google.com/scholar?q=Sam+Kovaka+et+al.%2C+%E2%80%9CUncalled4+improves+nanopore+DNA+and+RNA+modification+detection+via+fast+and+accurate+signal+alignmen","search")</f>
        <v/>
      </c>
      <c r="G11" s="3" t="n"/>
      <c r="H11" s="3" t="n"/>
      <c r="I11" s="3" t="n"/>
      <c r="J11" s="3" t="n"/>
      <c r="K11" t="inlineStr">
        <is>
          <t>NO</t>
        </is>
      </c>
      <c r="L11" s="3" t="n"/>
    </row>
    <row r="12" ht="42" customHeight="1">
      <c r="A12" t="inlineStr">
        <is>
          <t>F011</t>
        </is>
      </c>
      <c r="B12" t="inlineStr">
        <is>
          <t>2023</t>
        </is>
      </c>
      <c r="C12" t="inlineStr">
        <is>
          <t>Arxiv_CS_2023</t>
        </is>
      </c>
      <c r="D12" t="inlineStr">
        <is>
          <t>2310.11722v3.pdf</t>
        </is>
      </c>
      <c r="E12" s="2" t="inlineStr">
        <is>
          <t>Table 8 shows the example of the NotFollow er- ror type in that LLMs do not follow the instruction  Intent Query Atomic Type Diagnosis Is breast pain a symptom of breast cancer? 乳房疼痛是不是乳腺癌？ Disease-Symptom Is the high neutrophil of blood image classification cell bacterial infection？ 血象分类细胞的中性白细胞偏高是细菌感染吗？ Disease-Examination Cause What is the cause of pancreatic cancer? 胰腺癌的原因是什么？ Disease-Cause Method What is the best medicine for high blood pressure? 高血压吃什么药好？ Disease-Medicine What is the treat</t>
        </is>
      </c>
      <c r="F12">
        <f>HYPERLINK("https://scholar.google.com/scholar?q=Table+8+shows+the+example+of+the+NotFollow+er-+ror+type+in+that+LLMs+do+not+follow+the+instruction++Intent+Query+Atomic+","search")</f>
        <v/>
      </c>
      <c r="G12" s="3" t="n"/>
      <c r="H12" s="3" t="n"/>
      <c r="I12" s="3" t="n"/>
      <c r="J12" s="3" t="n"/>
      <c r="K12" t="inlineStr">
        <is>
          <t>YES</t>
        </is>
      </c>
      <c r="L12" s="3" t="n"/>
    </row>
    <row r="13" ht="42" customHeight="1">
      <c r="A13" t="inlineStr">
        <is>
          <t>F012</t>
        </is>
      </c>
      <c r="B13" t="inlineStr">
        <is>
          <t>2025</t>
        </is>
      </c>
      <c r="C13" t="inlineStr">
        <is>
          <t>Arxiv_CS_2025</t>
        </is>
      </c>
      <c r="D13" t="inlineStr">
        <is>
          <t>2501.15648v1.pdf</t>
        </is>
      </c>
      <c r="E13" s="2" t="inlineStr">
        <is>
          <t>Khurram Soomro, Amir Roshan Zamir, and Mubarak Shah. Ucf101: A dataset of 101 human actions classes from videos in the wild, 2012. 3</t>
        </is>
      </c>
      <c r="F13">
        <f>HYPERLINK("https://scholar.google.com/scholar?q=Khurram+Soomro%2C+Amir+Roshan+Zamir%2C+and+Mubarak+Shah.+Ucf101%3A+A+dataset+of+101+human+actions+classes+from+videos+in+the+w","search")</f>
        <v/>
      </c>
      <c r="G13" s="3" t="n"/>
      <c r="H13" s="3" t="n"/>
      <c r="I13" s="3" t="n"/>
      <c r="J13" s="3" t="n"/>
      <c r="K13" t="inlineStr">
        <is>
          <t>YES</t>
        </is>
      </c>
      <c r="L13" s="3" t="n"/>
    </row>
    <row r="14" ht="42" customHeight="1">
      <c r="A14" t="inlineStr">
        <is>
          <t>F013</t>
        </is>
      </c>
      <c r="B14" t="inlineStr">
        <is>
          <t>2023</t>
        </is>
      </c>
      <c r="C14" t="inlineStr">
        <is>
          <t>NeurIPS_2023</t>
        </is>
      </c>
      <c r="D14" t="inlineStr">
        <is>
          <t>09d9a13f7018110cfb439c06b07940a2-Paper-Conference.pdf</t>
        </is>
      </c>
      <c r="E14" s="2" t="inlineStr">
        <is>
          <t>Jonathan Krause, Michael Stark, Jia Deng, and Li Fei-Fei. 3d object representations for ﬁne-grained categorization. In ICCV Workshops, pages 554–561. IEEE Computer Society,</t>
        </is>
      </c>
      <c r="F14">
        <f>HYPERLINK("https://scholar.google.com/scholar?q=Jonathan+Krause%2C+Michael+Stark%2C+Jia+Deng%2C+and+Li+Fei-Fei.+3d+object+representations+for+%EF%AC%81ne-grained+categorization.+In+I","search")</f>
        <v/>
      </c>
      <c r="G14" s="3" t="n"/>
      <c r="H14" s="3" t="n"/>
      <c r="I14" s="3" t="n"/>
      <c r="J14" s="3" t="n"/>
      <c r="K14" t="inlineStr">
        <is>
          <t>NO</t>
        </is>
      </c>
      <c r="L14" s="3" t="n"/>
    </row>
    <row r="15" ht="42" customHeight="1">
      <c r="A15" t="inlineStr">
        <is>
          <t>F014</t>
        </is>
      </c>
      <c r="B15" t="inlineStr">
        <is>
          <t>2023</t>
        </is>
      </c>
      <c r="C15" t="inlineStr">
        <is>
          <t>Arxiv_CS_2023</t>
        </is>
      </c>
      <c r="D15" t="inlineStr">
        <is>
          <t>2311.10749v1.pdf</t>
        </is>
      </c>
      <c r="E15" s="2" t="inlineStr">
        <is>
          <t>Alec Radford, Jong Wook Kim, Tao Xu, Greg Brock- man, Christine McLeavey, and Ilya Sutskever. 2022. Robust speech recognition via large-scale weak su- pervision. Chenglei Si, Zhe Gan, Zhengyuan Yang, Shuohang Wang, Jianfeng Wang, Jordan Boyd-Graber, and Li- juan Wang. 2023. Prompting gpt-3 to be reliable. Yu Song, Shunwei Lei, Tianyong Hao, Zixin Lan, and Ying Ding. 2021. Automatic classification of se- mantic content of classroom dialogue. Journal of Educational Computing Research, 59(3):496–52</t>
        </is>
      </c>
      <c r="F15">
        <f>HYPERLINK("https://scholar.google.com/scholar?q=Alec+Radford%2C+Jong+Wook+Kim%2C+Tao+Xu%2C+Greg+Brock-+man%2C+Christine+McLeavey%2C+and+Ilya+Sutskever.+2022.+Robust+speech+recogn","search")</f>
        <v/>
      </c>
      <c r="G15" s="3" t="n"/>
      <c r="H15" s="3" t="n"/>
      <c r="I15" s="3" t="n"/>
      <c r="J15" s="3" t="n"/>
      <c r="K15" t="inlineStr">
        <is>
          <t>YES</t>
        </is>
      </c>
      <c r="L15" s="3" t="n"/>
    </row>
    <row r="16" ht="42" customHeight="1">
      <c r="A16" t="inlineStr">
        <is>
          <t>F015</t>
        </is>
      </c>
      <c r="B16" t="inlineStr">
        <is>
          <t>2016</t>
        </is>
      </c>
      <c r="C16" t="inlineStr">
        <is>
          <t>NeurIPS_2016</t>
        </is>
      </c>
      <c r="D16" t="inlineStr">
        <is>
          <t>08e6bea8e90ba87af3c9554d94db6579-Paper.pdf</t>
        </is>
      </c>
      <c r="E16" s="2" t="inlineStr">
        <is>
          <t>N. Parikh and S. Boyd. Proximal algorithms. Foundations and Trends in Optimization, 1(3):123– 231, 2013.</t>
        </is>
      </c>
      <c r="F16">
        <f>HYPERLINK("https://scholar.google.com/scholar?q=N.+Parikh+and+S.+Boyd.+Proximal+algorithms.+Foundations+and+Trends+in+Optimization%2C+1%283%29%3A123%E2%80%93+231%2C+2013.","search")</f>
        <v/>
      </c>
      <c r="G16" s="3" t="n"/>
      <c r="H16" s="3" t="n"/>
      <c r="I16" s="3" t="n"/>
      <c r="J16" s="3" t="n"/>
      <c r="K16" t="inlineStr">
        <is>
          <t>NO</t>
        </is>
      </c>
      <c r="L16" s="3" t="n"/>
    </row>
    <row r="17" ht="42" customHeight="1">
      <c r="A17" t="inlineStr">
        <is>
          <t>F016</t>
        </is>
      </c>
      <c r="B17" t="inlineStr">
        <is>
          <t>2016</t>
        </is>
      </c>
      <c r="C17" t="inlineStr">
        <is>
          <t>NeurIPS_2016</t>
        </is>
      </c>
      <c r="D17" t="inlineStr">
        <is>
          <t>06409663226af2f3114485aa4e0a23b4-Paper.pdf</t>
        </is>
      </c>
      <c r="E17" s="2" t="inlineStr">
        <is>
          <t>[20] P. H. O. Pinheiro and R. Collobert. Recurrent convolutional neural networks for scene parsing. arXiv preprint arXiv:1306.2795, 2013.</t>
        </is>
      </c>
      <c r="F17">
        <f>HYPERLINK("https://scholar.google.com/scholar?q=%5B20%5D+P.+H.+O.+Pinheiro+and+R.+Collobert.+Recurrent+convolutional+neural+networks+for+scene+parsing.+arXiv+preprint+arXiv","search")</f>
        <v/>
      </c>
      <c r="G17" s="3" t="n"/>
      <c r="H17" s="3" t="n"/>
      <c r="I17" s="3" t="n"/>
      <c r="J17" s="3" t="n"/>
      <c r="K17" t="inlineStr">
        <is>
          <t>YES</t>
        </is>
      </c>
      <c r="L17" s="3" t="n"/>
    </row>
    <row r="18" ht="42" customHeight="1">
      <c r="A18" t="inlineStr">
        <is>
          <t>F017</t>
        </is>
      </c>
      <c r="B18" t="inlineStr">
        <is>
          <t>2025</t>
        </is>
      </c>
      <c r="C18" t="inlineStr">
        <is>
          <t>Arxiv_CS_2025</t>
        </is>
      </c>
      <c r="D18" t="inlineStr">
        <is>
          <t>2501.11270v1.pdf</t>
        </is>
      </c>
      <c r="E18" s="2" t="inlineStr">
        <is>
          <t>W. Xu, Y. Tian, Y. Liu, B. Zhao, Y. Liu, and X. Zhang, “Un- derstanding the spatial-temporal patterns and influential factors on air quality index: The case of North China,” International Journal of Environmental Research and Public Health, vol. 16, no. 16, p. 2820, 2019.</t>
        </is>
      </c>
      <c r="F18">
        <f>HYPERLINK("https://scholar.google.com/scholar?q=W.+Xu%2C+Y.+Tian%2C+Y.+Liu%2C+B.+Zhao%2C+Y.+Liu%2C+and+X.+Zhang%2C+%E2%80%9CUn-+derstanding+the+spatial-temporal+patterns+and+influential+fa","search")</f>
        <v/>
      </c>
      <c r="G18" s="3" t="n"/>
      <c r="H18" s="3" t="n"/>
      <c r="I18" s="3" t="n"/>
      <c r="J18" s="3" t="n"/>
      <c r="K18" t="inlineStr">
        <is>
          <t>NO</t>
        </is>
      </c>
      <c r="L18" s="3" t="n"/>
    </row>
    <row r="19" ht="42" customHeight="1">
      <c r="A19" t="inlineStr">
        <is>
          <t>F018</t>
        </is>
      </c>
      <c r="B19" t="inlineStr">
        <is>
          <t>2016</t>
        </is>
      </c>
      <c r="C19" t="inlineStr">
        <is>
          <t>NeurIPS_2016</t>
        </is>
      </c>
      <c r="D19" t="inlineStr">
        <is>
          <t>0266e33d3f546cb5436a10798e657d97-Paper.pdf</t>
        </is>
      </c>
      <c r="E19" s="2" t="inlineStr">
        <is>
          <t>[19] P. Vincent, H. Larochelle, I. Lajoie, Y. Bengio, and P.-A. Manzagol. Stacked denoising autoencoders: Learning useful representations in a deep network with a local denoising criterion. JMLR, 11:3371–3408,</t>
        </is>
      </c>
      <c r="F19">
        <f>HYPERLINK("https://scholar.google.com/scholar?q=%5B19%5D+P.+Vincent%2C+H.+Larochelle%2C+I.+Lajoie%2C+Y.+Bengio%2C+and+P.-A.+Manzagol.+Stacked+denoising+autoencoders%3A+Learning+usefu","search")</f>
        <v/>
      </c>
      <c r="G19" s="3" t="n"/>
      <c r="H19" s="3" t="n"/>
      <c r="I19" s="3" t="n"/>
      <c r="J19" s="3" t="n"/>
      <c r="K19" t="inlineStr">
        <is>
          <t>NO</t>
        </is>
      </c>
      <c r="L19" s="3" t="n"/>
    </row>
    <row r="20" ht="42" customHeight="1">
      <c r="A20" t="inlineStr">
        <is>
          <t>F019</t>
        </is>
      </c>
      <c r="B20" t="inlineStr">
        <is>
          <t>2026</t>
        </is>
      </c>
      <c r="C20" t="inlineStr">
        <is>
          <t>Arxiv_General_Latest</t>
        </is>
      </c>
      <c r="D20" t="inlineStr">
        <is>
          <t>2604.24425v1.pdf</t>
        </is>
      </c>
      <c r="E20" s="2" t="inlineStr">
        <is>
          <t>Astropy Collaboration et al., 2013, A&amp;A, 558, A33 Astropy Collaboration et al., 2018, aj, 156, 123 Baum W. A., 1957, AJ, 62, 6 Benítez N., 2000, ApJ, 536, 571 Bernstein G., et al., 2025, arXiv e-prints, p. arXiv:2506.00758 Betancourt M., 2017, arXiv e-prints, p. arXiv:1701.02434 Bridle S., King L., 2007, New Journal of Physics, 9, 444 Campagne J.-E., et al., 2023, The Open Journal of Astrophysics, 6, 15 Carter C. K., Kohn R., 1994, Biometrika, 81, 541 Chisari N. E., et al., 2019, ApJS, 242, 2 De</t>
        </is>
      </c>
      <c r="F20">
        <f>HYPERLINK("https://scholar.google.com/scholar?q=Astropy+Collaboration+et+al.%2C+2013%2C+A%26A%2C+558%2C+A33+Astropy+Collaboration+et+al.%2C+2018%2C+aj%2C+156%2C+123+Baum+W.+A.%2C+1957%2C+AJ%2C","search")</f>
        <v/>
      </c>
      <c r="G20" s="3" t="n"/>
      <c r="H20" s="3" t="n"/>
      <c r="I20" s="3" t="n"/>
      <c r="J20" s="3" t="n"/>
      <c r="K20" t="inlineStr">
        <is>
          <t>NO</t>
        </is>
      </c>
      <c r="L20" s="3" t="n"/>
    </row>
    <row r="21" ht="42" customHeight="1">
      <c r="A21" t="inlineStr">
        <is>
          <t>F020</t>
        </is>
      </c>
      <c r="B21" t="inlineStr">
        <is>
          <t>2023</t>
        </is>
      </c>
      <c r="C21" t="inlineStr">
        <is>
          <t>NeurIPS_2023</t>
        </is>
      </c>
      <c r="D21" t="inlineStr">
        <is>
          <t>0534abc9e6db91683d82186ef0d68202-Paper-Conference.pdf</t>
        </is>
      </c>
      <c r="E21" s="2" t="inlineStr">
        <is>
          <t>Yilun Du, Cameron Smith, Ayush Tewari, and Vincent Sitzmann. Learning to render novel views from wide-baseline stereo pairs. In Proc. CVPR, 2023.</t>
        </is>
      </c>
      <c r="F21">
        <f>HYPERLINK("https://scholar.google.com/scholar?q=Yilun+Du%2C+Cameron+Smith%2C+Ayush+Tewari%2C+and+Vincent+Sitzmann.+Learning+to+render+novel+views+from+wide-baseline+stereo+pa","search")</f>
        <v/>
      </c>
      <c r="G21" s="3" t="n"/>
      <c r="H21" s="3" t="n"/>
      <c r="I21" s="3" t="n"/>
      <c r="J21" s="3" t="n"/>
      <c r="K21" t="inlineStr">
        <is>
          <t>NO</t>
        </is>
      </c>
      <c r="L21" s="3" t="n"/>
    </row>
    <row r="22" ht="42" customHeight="1">
      <c r="A22" t="inlineStr">
        <is>
          <t>F021</t>
        </is>
      </c>
      <c r="B22" t="inlineStr">
        <is>
          <t>2016</t>
        </is>
      </c>
      <c r="C22" t="inlineStr">
        <is>
          <t>NeurIPS_2016</t>
        </is>
      </c>
      <c r="D22" t="inlineStr">
        <is>
          <t>0deb1c54814305ca9ad266f53bc82511-Paper.pdf</t>
        </is>
      </c>
      <c r="E22" s="2" t="inlineStr">
        <is>
          <t>[37] S. Xie and Z. Tu, “Holistically-nested edge detection,” CoRR, vol. abs/1504.06375, 2015.</t>
        </is>
      </c>
      <c r="F22">
        <f>HYPERLINK("https://scholar.google.com/scholar?q=%5B37%5D+S.+Xie+and+Z.+Tu%2C+%E2%80%9CHolistically-nested+edge+detection%2C%E2%80%9D+CoRR%2C+vol.+abs%2F1504.06375%2C+2015.","search")</f>
        <v/>
      </c>
      <c r="G22" s="3" t="n"/>
      <c r="H22" s="3" t="n"/>
      <c r="I22" s="3" t="n"/>
      <c r="J22" s="3" t="n"/>
      <c r="K22" t="inlineStr">
        <is>
          <t>NO</t>
        </is>
      </c>
      <c r="L22" s="3" t="n"/>
    </row>
    <row r="23" ht="42" customHeight="1">
      <c r="A23" t="inlineStr">
        <is>
          <t>F022</t>
        </is>
      </c>
      <c r="B23" t="inlineStr">
        <is>
          <t>2026</t>
        </is>
      </c>
      <c r="C23" t="inlineStr">
        <is>
          <t>Arxiv_General_Latest</t>
        </is>
      </c>
      <c r="D23" t="inlineStr">
        <is>
          <t>2606.26093v1.pdf</t>
        </is>
      </c>
      <c r="E23" s="2" t="inlineStr">
        <is>
          <t>R. Suvorov, E. Logacheva, A. Mashikhin, A. Remizova, A. Ashukha, A. Silvestrov, N. Kong, H. Goka, K. Park, and V. Lempitsky. Resolution-robust large mask inpainting with Fourier convolutions. In Winter Conference on Applications of Computer Vision (WACV), 2022. 11  Appendix A Electrode Placement Details Figure 7: Electrode placement details. We use eight sEMG channels: seven to capture muscle activity associated with fingertip control and one to capture wrist flexion (Figure A). Channel 1 is pla</t>
        </is>
      </c>
      <c r="F23">
        <f>HYPERLINK("https://scholar.google.com/scholar?q=R.+Suvorov%2C+E.+Logacheva%2C+A.+Mashikhin%2C+A.+Remizova%2C+A.+Ashukha%2C+A.+Silvestrov%2C+N.+Kong%2C+H.+Goka%2C+K.+Park%2C+and+V.+Lempit","search")</f>
        <v/>
      </c>
      <c r="G23" s="3" t="n"/>
      <c r="H23" s="3" t="n"/>
      <c r="I23" s="3" t="n"/>
      <c r="J23" s="3" t="n"/>
      <c r="K23" t="inlineStr">
        <is>
          <t>NO</t>
        </is>
      </c>
      <c r="L23" s="3" t="n"/>
    </row>
    <row r="24" ht="42" customHeight="1">
      <c r="A24" t="inlineStr">
        <is>
          <t>F023</t>
        </is>
      </c>
      <c r="B24" t="inlineStr">
        <is>
          <t>2016</t>
        </is>
      </c>
      <c r="C24" t="inlineStr">
        <is>
          <t>Arxiv_Bio_2016</t>
        </is>
      </c>
      <c r="D24" t="inlineStr">
        <is>
          <t>1604.04683v2.pdf</t>
        </is>
      </c>
      <c r="E24" s="2" t="inlineStr">
        <is>
          <t>Friston, K. J., Mechelli, A., Turner, R., &amp; Price, C. J. (2000). Nonlinear responses in fMRI: the  Balloon model, Volterra kernels, and other hemodynamics. NeuroImage, 12(4), 466-477.  Galan, R.F. (2008). On How Network Architecture Determines the Dominant Patterns of  Spontaneous Neural Activity. PLoS one, 3, e2148.  Giedd, J. N., Raznahan, A., Alexander-Bloch, A., Schmitt, E., Gogtay, N., and Rapoport, J. L.  (2014). Child Psychiatry Branch of the National Institute of Mental Health Longitudin</t>
        </is>
      </c>
      <c r="F24">
        <f>HYPERLINK("https://scholar.google.com/scholar?q=Friston%2C+K.+J.%2C+Mechelli%2C+A.%2C+Turner%2C+R.%2C+%26+Price%2C+C.+J.+%282000%29.+Nonlinear+responses+in+fMRI%3A+the++Balloon+model%2C+Volter","search")</f>
        <v/>
      </c>
      <c r="G24" s="3" t="n"/>
      <c r="H24" s="3" t="n"/>
      <c r="I24" s="3" t="n"/>
      <c r="J24" s="3" t="n"/>
      <c r="K24" t="inlineStr">
        <is>
          <t>YES</t>
        </is>
      </c>
      <c r="L24" s="3" t="n"/>
    </row>
    <row r="25" ht="42" customHeight="1">
      <c r="A25" t="inlineStr">
        <is>
          <t>F024</t>
        </is>
      </c>
      <c r="B25" t="inlineStr">
        <is>
          <t>2023</t>
        </is>
      </c>
      <c r="C25" t="inlineStr">
        <is>
          <t>NeurIPS_2023</t>
        </is>
      </c>
      <c r="D25" t="inlineStr">
        <is>
          <t>0a003511b09274348b8117f5f3b94c93-Paper-Conference.pdf</t>
        </is>
      </c>
      <c r="E25" s="2" t="inlineStr">
        <is>
          <t>Jeremy Reizenstein, Roman Shapovalov, Philipp Henzler, Luca Sbordone, Patrick Labatut, and David Novotny. Common objects in 3d: Large-scale learning and evaluation of real-life 3d category reconstruction. In International Conference on Computer Vision, 2021.</t>
        </is>
      </c>
      <c r="F25">
        <f>HYPERLINK("https://scholar.google.com/scholar?q=Jeremy+Reizenstein%2C+Roman+Shapovalov%2C+Philipp+Henzler%2C+Luca+Sbordone%2C+Patrick+Labatut%2C+and+David+Novotny.+Common+objects","search")</f>
        <v/>
      </c>
      <c r="G25" s="3" t="n"/>
      <c r="H25" s="3" t="n"/>
      <c r="I25" s="3" t="n"/>
      <c r="J25" s="3" t="n"/>
      <c r="K25" t="inlineStr">
        <is>
          <t>NO</t>
        </is>
      </c>
      <c r="L25" s="3" t="n"/>
    </row>
    <row r="26" ht="42" customHeight="1">
      <c r="A26" t="inlineStr">
        <is>
          <t>F025</t>
        </is>
      </c>
      <c r="B26" t="inlineStr">
        <is>
          <t>2023</t>
        </is>
      </c>
      <c r="C26" t="inlineStr">
        <is>
          <t>NeurIPS_2023</t>
        </is>
      </c>
      <c r="D26" t="inlineStr">
        <is>
          <t>0147d967a5db3b8dde08d2a327b24568-Paper-Conference.pdf</t>
        </is>
      </c>
      <c r="E26" s="2" t="inlineStr">
        <is>
          <t>Lekui Zhou, Yang Yang, Xiang Ren, Fei Wu, and Yueting Zhuang. Dynamic network embedding by modeling triadic closure process. In Proceedings of the AAAI conference on artificial intelligence, volume 32, 2018. 12  A Additional Algorithm Details A.1 The Derivation of Approximate Von Neumann Entropy on Temporal Network In the following, We commence by summarizing the approximation of the undirected graph von Neumann entropy presented by [27]. First, we introduce the von Neumann entropy, which can be</t>
        </is>
      </c>
      <c r="F26">
        <f>HYPERLINK("https://scholar.google.com/scholar?q=Lekui+Zhou%2C+Yang+Yang%2C+Xiang+Ren%2C+Fei+Wu%2C+and+Yueting+Zhuang.+Dynamic+network+embedding+by+modeling+triadic+closure+proc","search")</f>
        <v/>
      </c>
      <c r="G26" s="3" t="n"/>
      <c r="H26" s="3" t="n"/>
      <c r="I26" s="3" t="n"/>
      <c r="J26" s="3" t="n"/>
      <c r="K26" t="inlineStr">
        <is>
          <t>YES</t>
        </is>
      </c>
      <c r="L26" s="3" t="n"/>
    </row>
    <row r="27" ht="42" customHeight="1">
      <c r="A27" t="inlineStr">
        <is>
          <t>F026</t>
        </is>
      </c>
      <c r="B27" t="inlineStr">
        <is>
          <t>2026</t>
        </is>
      </c>
      <c r="C27" t="inlineStr">
        <is>
          <t>Arxiv_General_Latest</t>
        </is>
      </c>
      <c r="D27" t="inlineStr">
        <is>
          <t>2605.05444v1.pdf</t>
        </is>
      </c>
      <c r="E27" s="2" t="inlineStr">
        <is>
          <t>Abac, A., Dietrich, T., Buonanno, A., Steinhoff, J., &amp; Ujevic, M. 2024a, Phys. Rev. D, 109, 024062, doi: 10.1103/PhysRevD.109.024062 Abac, A. G., et al. 2024b, Astrophys. J. Lett., 970, L34, doi: 10.3847/2041-8213/ad5beb —. 2025a. https://arxiv.org/abs/2508.18082 —. 2025b. https://arxiv.org/abs/2508.18079 —. 2025c, Astrophys. J. Lett., 995, L18, doi: 10.3847/2041-8213/ae0c06 —. 2025d. https://arxiv.org/abs/2508.18081 —. 2025e. https://arxiv.org/abs/2508.18083 —. 2025f. https://arxiv.org/abs/2510</t>
        </is>
      </c>
      <c r="F27">
        <f>HYPERLINK("https://scholar.google.com/scholar?q=Abac%2C+A.%2C+Dietrich%2C+T.%2C+Buonanno%2C+A.%2C+Steinhoff%2C+J.%2C+%26+Ujevic%2C+M.+2024a%2C+Phys.+Rev.+D%2C+109%2C+024062%2C+doi%3A+10.1103%2FPhysRev","search")</f>
        <v/>
      </c>
      <c r="G27" s="3" t="n"/>
      <c r="H27" s="3" t="n"/>
      <c r="I27" s="3" t="n"/>
      <c r="J27" s="3" t="n"/>
      <c r="K27" t="inlineStr">
        <is>
          <t>YES</t>
        </is>
      </c>
      <c r="L27" s="3" t="n"/>
    </row>
    <row r="28" ht="42" customHeight="1">
      <c r="A28" t="inlineStr">
        <is>
          <t>F027</t>
        </is>
      </c>
      <c r="B28" t="inlineStr">
        <is>
          <t>2023</t>
        </is>
      </c>
      <c r="C28" t="inlineStr">
        <is>
          <t>NeurIPS_2023</t>
        </is>
      </c>
      <c r="D28" t="inlineStr">
        <is>
          <t>03b1043052700b1a471996b0baf309d4-Paper-Conference.pdf</t>
        </is>
      </c>
      <c r="E28" s="2" t="inlineStr">
        <is>
          <t>Maria-Florina Balcan and Ruth Urner. Active learning-modern learning theory., 2016.</t>
        </is>
      </c>
      <c r="F28">
        <f>HYPERLINK("https://scholar.google.com/scholar?q=Maria-Florina+Balcan+and+Ruth+Urner.+Active+learning-modern+learning+theory.%2C+2016.","search")</f>
        <v/>
      </c>
      <c r="G28" s="3" t="n"/>
      <c r="H28" s="3" t="n"/>
      <c r="I28" s="3" t="n"/>
      <c r="J28" s="3" t="n"/>
      <c r="K28" t="inlineStr">
        <is>
          <t>NO</t>
        </is>
      </c>
      <c r="L28" s="3" t="n"/>
    </row>
    <row r="29" ht="42" customHeight="1">
      <c r="A29" t="inlineStr">
        <is>
          <t>F028</t>
        </is>
      </c>
      <c r="B29" t="inlineStr">
        <is>
          <t>2026</t>
        </is>
      </c>
      <c r="C29" t="inlineStr">
        <is>
          <t>Arxiv_General_Latest</t>
        </is>
      </c>
      <c r="D29" t="inlineStr">
        <is>
          <t>2602.18883v1.pdf</t>
        </is>
      </c>
      <c r="E29" s="2" t="inlineStr">
        <is>
          <t>Abraham R. G., van den Bergh S., Glazebrook K., Ellis R. S., Santiago B. X., Surma P., Griffiths R. E., 1996a, ApJS, 107, 1 Abraham R. G., Tanvir N. R., Santiago B. X., Ellis R. S., Glazebrook K., van den Bergh S., 1996b, MNRAS, 279, L47 Abraham R. G., van den Bergh S., Nair P., 2003, ApJ, 588, 218 Alpert C. J., Kahng A. B., Yao S.-Z., 1999, Discrete Applied Mathematics, 90, 3 Barbary K., Boone K., McCully C., Craig M., Deil C., Rose B., 2016, kbar- bary/sep: v1.0.0, doi:10.5281/zenodo.159035, h</t>
        </is>
      </c>
      <c r="F29">
        <f>HYPERLINK("https://scholar.google.com/scholar?q=Abraham+R.+G.%2C+van+den+Bergh+S.%2C+Glazebrook+K.%2C+Ellis+R.+S.%2C+Santiago+B.+X.%2C+Surma+P.%2C+Griffiths+R.+E.%2C+1996a%2C+ApJS%2C+107","search")</f>
        <v/>
      </c>
      <c r="G29" s="3" t="n"/>
      <c r="H29" s="3" t="n"/>
      <c r="I29" s="3" t="n"/>
      <c r="J29" s="3" t="n"/>
      <c r="K29" t="inlineStr">
        <is>
          <t>NO</t>
        </is>
      </c>
      <c r="L29" s="3" t="n"/>
    </row>
    <row r="30" ht="42" customHeight="1">
      <c r="A30" t="inlineStr">
        <is>
          <t>F029</t>
        </is>
      </c>
      <c r="B30" t="inlineStr">
        <is>
          <t>2023</t>
        </is>
      </c>
      <c r="C30" t="inlineStr">
        <is>
          <t>NeurIPS_2023</t>
        </is>
      </c>
      <c r="D30" t="inlineStr">
        <is>
          <t>05ab457c7b769f01c2973e2a5ab66ad9-Paper-Conference.pdf</t>
        </is>
      </c>
      <c r="E30" s="2" t="inlineStr">
        <is>
          <t>Katie C Bittner, Christine Grienberger, Sachin P Vaidya, Aaron D Milstein, John J Macklin, Junghyup Suh, Susumu Tonegawa, and Jeffrey C Magee. Conjunctive input processing drives feature selectivity in hippocampal CA1 neurons. Nature Neuroscience, 18(8):1133–1142, July</t>
        </is>
      </c>
      <c r="F30">
        <f>HYPERLINK("https://scholar.google.com/scholar?q=Katie+C+Bittner%2C+Christine+Grienberger%2C+Sachin+P+Vaidya%2C+Aaron+D+Milstein%2C+John+J+Macklin%2C+Junghyup+Suh%2C+Susumu+Tonegawa","search")</f>
        <v/>
      </c>
      <c r="G30" s="3" t="n"/>
      <c r="H30" s="3" t="n"/>
      <c r="I30" s="3" t="n"/>
      <c r="J30" s="3" t="n"/>
      <c r="K30" t="inlineStr">
        <is>
          <t>NO</t>
        </is>
      </c>
      <c r="L30" s="3" t="n"/>
    </row>
    <row r="31" ht="42" customHeight="1">
      <c r="A31" t="inlineStr">
        <is>
          <t>F030</t>
        </is>
      </c>
      <c r="B31" t="inlineStr">
        <is>
          <t>2023</t>
        </is>
      </c>
      <c r="C31" t="inlineStr">
        <is>
          <t>Arxiv_CS_2023</t>
        </is>
      </c>
      <c r="D31" t="inlineStr">
        <is>
          <t>2312.09917v1.pdf</t>
        </is>
      </c>
      <c r="E31" s="2" t="inlineStr">
        <is>
          <t>$ELG$EXEDNDU0DKHHQ)DURRTLDQG-DPHV=RX³3HUVLVWHQW$QWL-Muslim Bias in Large  /DQJXDJH0RGHOV´DU;LYhttps://doi.org/10.48550/arXiv.2101.05783.  $FHUEL$OEHUWRDQG-RVHSK06WXEEHUVILHOG³/DUJH/DQJXDJH0RGHOV6KRZ+XPDQ-like  &amp;RQWHQW%LDVHVLQ7UDQVPLVVLRQ&amp;KDLQ([SHULPHQWV´Proceedings of the National  Academy of Sciences 120 (44): e2313790120. https://doi.org/10.1073/pnas.2313790120.  Argyle, Lisa P., Christopher A. Bail, Ethan C. Busby, Joshua R. Gubler, Thomas How</t>
        </is>
      </c>
      <c r="F31">
        <f>HYPERLINK("https://scholar.google.com/scholar?q=%24ELG%24EXEDNDU0DKHHQ%29DURRTLDQG-DPHV%3DRX%C2%B33HUVLVWHQW%24QWL-Muslim+Bias+in+Large++%2FDQJXDJH0RGHOV%C2%B4DU%3BLYhttps%3A%2F%2Fdoi.org%2F10.48550%2Fa","search")</f>
        <v/>
      </c>
      <c r="G31" s="3" t="n"/>
      <c r="H31" s="3" t="n"/>
      <c r="I31" s="3" t="n"/>
      <c r="J31" s="3" t="n"/>
      <c r="K31" t="inlineStr">
        <is>
          <t>YES</t>
        </is>
      </c>
      <c r="L31" s="3" t="n"/>
    </row>
    <row r="32" ht="42" customHeight="1">
      <c r="A32" t="inlineStr">
        <is>
          <t>F031</t>
        </is>
      </c>
      <c r="B32" t="inlineStr">
        <is>
          <t>2023</t>
        </is>
      </c>
      <c r="C32" t="inlineStr">
        <is>
          <t>Arxiv_CS_2023</t>
        </is>
      </c>
      <c r="D32" t="inlineStr">
        <is>
          <t>2312.10975v1.pdf</t>
        </is>
      </c>
      <c r="E32" s="2" t="inlineStr">
        <is>
          <t>Learning nonlinear operators via DeepONet based on the universal approximation theorem of operators. Nature Machine Intelligence, 3(3): 218–229. Lu, L.; Meng, X.; Cai, S.; Mao, Z.; Goswami, S.; Zhang, Z.; and Karniadakis, G. E. 2022. A comprehensive and fair com- parison of two neural operators (with practical extensions) based on fair data. Computer Methods in Applied Mechanics and Engineering, 393: 114778. Mildenhall, B.; Srinivasan, P. P.; Tancik, M.; Barron, J. T.; Ra- mamoorthi, R.; and Ng,</t>
        </is>
      </c>
      <c r="F32">
        <f>HYPERLINK("https://scholar.google.com/scholar?q=Learning+nonlinear+operators+via+DeepONet+based+on+the+universal+approximation+theorem+of+operators.+Nature+Machine+Inte","search")</f>
        <v/>
      </c>
      <c r="G32" s="3" t="n"/>
      <c r="H32" s="3" t="n"/>
      <c r="I32" s="3" t="n"/>
      <c r="J32" s="3" t="n"/>
      <c r="K32" t="inlineStr">
        <is>
          <t>NO</t>
        </is>
      </c>
      <c r="L32" s="3" t="n"/>
    </row>
    <row r="33" ht="42" customHeight="1">
      <c r="A33" t="inlineStr">
        <is>
          <t>F032</t>
        </is>
      </c>
      <c r="B33" t="inlineStr">
        <is>
          <t>2016</t>
        </is>
      </c>
      <c r="C33" t="inlineStr">
        <is>
          <t>NeurIPS_2016</t>
        </is>
      </c>
      <c r="D33" t="inlineStr">
        <is>
          <t>093b60fd0557804c8ba0cbf1453da22f-Paper.pdf</t>
        </is>
      </c>
      <c r="E33" s="2" t="inlineStr">
        <is>
          <t>[9] K.-Y. Chiang, C.-J. Hsieh, and I. S. Dhillon. Matrix completion with noisy side information. Advances in Neural Information Processing Systems 28, pages 3429–3437, 2015.</t>
        </is>
      </c>
      <c r="F33">
        <f>HYPERLINK("https://scholar.google.com/scholar?q=%5B9%5D+K.-Y.+Chiang%2C+C.-J.+Hsieh%2C+and+I.+S.+Dhillon.+Matrix+completion+with+noisy+side+information.+Advances+in+Neural+Info","search")</f>
        <v/>
      </c>
      <c r="G33" s="3" t="n"/>
      <c r="H33" s="3" t="n"/>
      <c r="I33" s="3" t="n"/>
      <c r="J33" s="3" t="n"/>
      <c r="K33" t="inlineStr">
        <is>
          <t>NO</t>
        </is>
      </c>
      <c r="L33" s="3" t="n"/>
    </row>
    <row r="34" ht="42" customHeight="1">
      <c r="A34" t="inlineStr">
        <is>
          <t>F033</t>
        </is>
      </c>
      <c r="B34" t="inlineStr">
        <is>
          <t>2023</t>
        </is>
      </c>
      <c r="C34" t="inlineStr">
        <is>
          <t>NeurIPS_2023</t>
        </is>
      </c>
      <c r="D34" t="inlineStr">
        <is>
          <t>0252a434b18962c94910c07cd9a7fecc-Paper-Conference.pdf</t>
        </is>
      </c>
      <c r="E34" s="2" t="inlineStr">
        <is>
          <t>Thomas J Walsh, Ali Nouri, Lihong Li, and Michael L Littman. Learning and planning in environments with delayed feedback. Autonomous Agents and Multi-Agent Systems, 18(1): 83–105, 2009. doi: 10.1007/s10458-008-9056-7. 12  A Architecture and Pseudo Code of BPQL Figure 4: BPQL architecture: The agent selects an action using an augmented state, which is obtained from the temporary buffer, as an input of the policy. At every time t &gt; 2d, a transition tuple ¯st−d, st−d, at−d, rt−d, ¯st+1−d, st+1−d is</t>
        </is>
      </c>
      <c r="F34">
        <f>HYPERLINK("https://scholar.google.com/scholar?q=Thomas+J+Walsh%2C+Ali+Nouri%2C+Lihong+Li%2C+and+Michael+L+Littman.+Learning+and+planning+in+environments+with+delayed+feedback","search")</f>
        <v/>
      </c>
      <c r="G34" s="3" t="n"/>
      <c r="H34" s="3" t="n"/>
      <c r="I34" s="3" t="n"/>
      <c r="J34" s="3" t="n"/>
      <c r="K34" t="inlineStr">
        <is>
          <t>NO</t>
        </is>
      </c>
      <c r="L34" s="3" t="n"/>
    </row>
    <row r="35" ht="42" customHeight="1">
      <c r="A35" t="inlineStr">
        <is>
          <t>F034</t>
        </is>
      </c>
      <c r="B35" t="inlineStr">
        <is>
          <t>2023</t>
        </is>
      </c>
      <c r="C35" t="inlineStr">
        <is>
          <t>Arxiv_CS_2023</t>
        </is>
      </c>
      <c r="D35" t="inlineStr">
        <is>
          <t>2312.04168v1.pdf</t>
        </is>
      </c>
      <c r="E35" s="2" t="inlineStr">
        <is>
          <t>, a seminal structure for semantic segmentation. Table 3 shows the results, where Af-DCD only brings 0.31% gain to the baseline. This indicates that the design of Af-DCD cannot easily generalize to transformer-based structures. This is because Af-DCD exploits dense pixel-wise information within each of local patches via the feature partition across both channel and spatial dimensions for formulating contrastive feature mimicking conditioned on the single image input, but transformer- 14  Table 2</t>
        </is>
      </c>
      <c r="F35">
        <f>HYPERLINK("https://scholar.google.com/scholar?q=%2C+a+seminal+structure+for+semantic+segmentation.+Table+3+shows+the+results%2C+where+Af-DCD+only+brings+0.31%25+gain+to+the+b","search")</f>
        <v/>
      </c>
      <c r="G35" s="3" t="n"/>
      <c r="H35" s="3" t="n"/>
      <c r="I35" s="3" t="n"/>
      <c r="J35" s="3" t="n"/>
      <c r="K35" t="inlineStr">
        <is>
          <t>YES</t>
        </is>
      </c>
      <c r="L35" s="3" t="n"/>
    </row>
    <row r="36" ht="42" customHeight="1">
      <c r="A36" t="inlineStr">
        <is>
          <t>F035</t>
        </is>
      </c>
      <c r="B36" t="inlineStr">
        <is>
          <t>2026</t>
        </is>
      </c>
      <c r="C36" t="inlineStr">
        <is>
          <t>Arxiv_General_Latest</t>
        </is>
      </c>
      <c r="D36" t="inlineStr">
        <is>
          <t>2604.22048v2.pdf</t>
        </is>
      </c>
      <c r="E36" s="2" t="inlineStr">
        <is>
          <t>Arcelin, B., Doux, C., Aubourg, E., Roucelle, C., &amp; LSST-DESC. 2021, Monthly Notices of the Royal Astronomical Society, 500, 531 5.4 Asgari, M., Lin, C.-A., Joachimi, B., et al. 2021, Astronomy &amp; Astrophysics, 645, A104 1 Bartelmann, M., &amp; Schneider, P. 2001, Phys. Rep., 340, 291, doi: 10.1016/S0370-1573(00)00082-X 4 Berlfein, F., Mandelbaum, R., Li, X., et al. 2025, arXiv e-prints, arXiv:2505.00093, doi: 10.48550/arXiv.2505.00093 1 Bernstein, G. M. 2010, Monthly Notices of the Royal Astronomica</t>
        </is>
      </c>
      <c r="F36">
        <f>HYPERLINK("https://scholar.google.com/scholar?q=Arcelin%2C+B.%2C+Doux%2C+C.%2C+Aubourg%2C+E.%2C+Roucelle%2C+C.%2C+%26+LSST-DESC.+2021%2C+Monthly+Notices+of+the+Royal+Astronomical+Society%2C+","search")</f>
        <v/>
      </c>
      <c r="G36" s="3" t="n"/>
      <c r="H36" s="3" t="n"/>
      <c r="I36" s="3" t="n"/>
      <c r="J36" s="3" t="n"/>
      <c r="K36" t="inlineStr">
        <is>
          <t>NO</t>
        </is>
      </c>
      <c r="L36" s="3" t="n"/>
    </row>
    <row r="37" ht="42" customHeight="1">
      <c r="A37" t="inlineStr">
        <is>
          <t>F036</t>
        </is>
      </c>
      <c r="B37" t="inlineStr">
        <is>
          <t>2025</t>
        </is>
      </c>
      <c r="C37" t="inlineStr">
        <is>
          <t>Arxiv_CS_2025</t>
        </is>
      </c>
      <c r="D37" t="inlineStr">
        <is>
          <t>2501.16361v1.pdf</t>
        </is>
      </c>
      <c r="E37" s="2" t="inlineStr">
        <is>
          <t>doi:10.1038/s42256-022-00534-z</t>
        </is>
      </c>
      <c r="F37">
        <f>HYPERLINK("https://scholar.google.com/scholar?q=doi%3A10.1038%2Fs42256-022-00534-z","search")</f>
        <v/>
      </c>
      <c r="G37" s="3" t="n"/>
      <c r="H37" s="3" t="n"/>
      <c r="I37" s="3" t="n"/>
      <c r="J37" s="3" t="n"/>
      <c r="K37" t="inlineStr">
        <is>
          <t>NO</t>
        </is>
      </c>
      <c r="L37" s="3" t="n"/>
    </row>
    <row r="38" ht="42" customHeight="1">
      <c r="A38" t="inlineStr">
        <is>
          <t>F037</t>
        </is>
      </c>
      <c r="B38" t="inlineStr">
        <is>
          <t>2016</t>
        </is>
      </c>
      <c r="C38" t="inlineStr">
        <is>
          <t>Arxiv_CS_2016</t>
        </is>
      </c>
      <c r="D38" t="inlineStr">
        <is>
          <t>1612.02814v2.pdf</t>
        </is>
      </c>
      <c r="E38" s="2" t="inlineStr">
        <is>
          <t>For all these methods, we use grid search to ﬁnd their best hyper-parameters, such as regularization penalty, maximum depth of trees, and so on. • Task-speciﬁc embedding. This method is introduced in Sec- tion 3.1. The embeddings of nodes are learned solely based on task-speciﬁc embedding architecture. • Network-general embedding. This method is introduced in Section 3.2. The embeddings of nodes are learned solely 3for LR, SVM, RF, we use scikit learn implementation, and for LambdaMART, we use X</t>
        </is>
      </c>
      <c r="F38">
        <f>HYPERLINK("https://scholar.google.com/scholar?q=For+all+these+methods%2C+we+use+grid+search+to+%EF%AC%81nd+their+best+hyper-parameters%2C+such+as+regularization+penalty%2C+maximum+de","search")</f>
        <v/>
      </c>
      <c r="G38" s="3" t="n"/>
      <c r="H38" s="3" t="n"/>
      <c r="I38" s="3" t="n"/>
      <c r="J38" s="3" t="n"/>
      <c r="K38" t="inlineStr">
        <is>
          <t>NO</t>
        </is>
      </c>
      <c r="L38" s="3" t="n"/>
    </row>
    <row r="39" ht="42" customHeight="1">
      <c r="A39" t="inlineStr">
        <is>
          <t>F038</t>
        </is>
      </c>
      <c r="B39" t="inlineStr">
        <is>
          <t>2025</t>
        </is>
      </c>
      <c r="C39" t="inlineStr">
        <is>
          <t>Arxiv_CS_2025</t>
        </is>
      </c>
      <c r="D39" t="inlineStr">
        <is>
          <t>2503.22235v1.pdf</t>
        </is>
      </c>
      <c r="E39" s="2" t="inlineStr">
        <is>
          <t>Kaifeng Bi, Lingxi Xie, Hengheng Zhang, Xin Chen, Xiaotao Gu, and Qi Tian. Accurate medium- range global weather forecasting with 3d neural networks. Nature, 619(7970):533–538, 2023. Cristian Bodnar, Wessel P Bruinsma, Ana Lucic, Megan Stanley, Johannes Brandstetter, Patrick Garvan, Maik Riechert, Jonathan Weyn, Haiyu Dong, Anna Vaughan, et al. Aurora: A foundation model of the atmosphere. arXiv preprint arXiv:2405.13063, 2024. Lei Chen, Xiaohui Zhong, Feng Zhang, Yuan Cheng, Yinghui Xu, Yuan Qi</t>
        </is>
      </c>
      <c r="F39">
        <f>HYPERLINK("https://scholar.google.com/scholar?q=Kaifeng+Bi%2C+Lingxi+Xie%2C+Hengheng+Zhang%2C+Xin+Chen%2C+Xiaotao+Gu%2C+and+Qi+Tian.+Accurate+medium-+range+global+weather+forecas","search")</f>
        <v/>
      </c>
      <c r="G39" s="3" t="n"/>
      <c r="H39" s="3" t="n"/>
      <c r="I39" s="3" t="n"/>
      <c r="J39" s="3" t="n"/>
      <c r="K39" t="inlineStr">
        <is>
          <t>NO</t>
        </is>
      </c>
      <c r="L39" s="3" t="n"/>
    </row>
    <row r="40" ht="42" customHeight="1">
      <c r="A40" t="inlineStr">
        <is>
          <t>F039</t>
        </is>
      </c>
      <c r="B40" t="inlineStr">
        <is>
          <t>2023</t>
        </is>
      </c>
      <c r="C40" t="inlineStr">
        <is>
          <t>Arxiv_Bio_2023</t>
        </is>
      </c>
      <c r="D40" t="inlineStr">
        <is>
          <t>2307.00494v3.pdf</t>
        </is>
      </c>
      <c r="E40" s="2" t="inlineStr">
        <is>
          <t>Zhizhou Ren, Jiahan Li, Fan Ding, Yuan Zhou, Jianzhu Ma, and Jian Peng. Proximal exploration for model-guided protein sequence design. In Kamalika Chaudhuri, Stefanie Jegelka, Le Song, Csaba Szepesvari, Gang Niu, and Sivan Sabato (eds.), Proceedings of the 39th International Conference on Machine Learning, volume 162 of Proceedings of Machine Learning Research, pp. 18520–18536. PMLR, 17–23 Jul 2022. URL https://proceedings.mlr.press/v162/ ren22a.html. Karen S Sarkisyan, Dmitry A Bolotin, Margari</t>
        </is>
      </c>
      <c r="F40">
        <f>HYPERLINK("https://scholar.google.com/scholar?q=Zhizhou+Ren%2C+Jiahan+Li%2C+Fan+Ding%2C+Yuan+Zhou%2C+Jianzhu+Ma%2C+and+Jian+Peng.+Proximal+exploration+for+model-guided+protein+se","search")</f>
        <v/>
      </c>
      <c r="G40" s="3" t="n"/>
      <c r="H40" s="3" t="n"/>
      <c r="I40" s="3" t="n"/>
      <c r="J40" s="3" t="n"/>
      <c r="K40" t="inlineStr">
        <is>
          <t>NO</t>
        </is>
      </c>
      <c r="L40" s="3" t="n"/>
    </row>
    <row r="41" ht="42" customHeight="1">
      <c r="A41" t="inlineStr">
        <is>
          <t>F040</t>
        </is>
      </c>
      <c r="B41" t="inlineStr">
        <is>
          <t>2025</t>
        </is>
      </c>
      <c r="C41" t="inlineStr">
        <is>
          <t>Arxiv_CS_2025</t>
        </is>
      </c>
      <c r="D41" t="inlineStr">
        <is>
          <t>2501.08922v2.pdf</t>
        </is>
      </c>
      <c r="E41" s="2" t="inlineStr">
        <is>
          <t>Bo Cheng, Lukas Loeber, Hannes Willeck, Udo Hartel, and Charles Tuffile. Computational investigation of melt pool process dynamics and pore formation in laser powder bed fusion. Journal of Materials Engineering and Performance, 28:6565–6578, 2019.</t>
        </is>
      </c>
      <c r="F41">
        <f>HYPERLINK("https://scholar.google.com/scholar?q=Bo+Cheng%2C+Lukas+Loeber%2C+Hannes+Willeck%2C+Udo+Hartel%2C+and+Charles+Tuffile.+Computational+investigation+of+melt+pool+proces","search")</f>
        <v/>
      </c>
      <c r="G41" s="3" t="n"/>
      <c r="H41" s="3" t="n"/>
      <c r="I41" s="3" t="n"/>
      <c r="J41" s="3" t="n"/>
      <c r="K41" t="inlineStr">
        <is>
          <t>NO</t>
        </is>
      </c>
      <c r="L41" s="3" t="n"/>
    </row>
    <row r="42" ht="42" customHeight="1">
      <c r="A42" t="inlineStr">
        <is>
          <t>F041</t>
        </is>
      </c>
      <c r="B42" t="inlineStr">
        <is>
          <t>2025</t>
        </is>
      </c>
      <c r="C42" t="inlineStr">
        <is>
          <t>Arxiv_CS_2025</t>
        </is>
      </c>
      <c r="D42" t="inlineStr">
        <is>
          <t>2501.11171v1.pdf</t>
        </is>
      </c>
      <c r="E42" s="2" t="inlineStr">
        <is>
          <t>Pizzi, E., Kordopatis-Zilos, G., Patel, H., Postelnicu, G., Ravindra, S.N., Gupta, A., Papadopoulos, S., Tolias, G., Douze, M.: The 2023 video similarity dataset and challenge. Computer Vision and Image Understanding 243, 103997 (2024)</t>
        </is>
      </c>
      <c r="F42">
        <f>HYPERLINK("https://scholar.google.com/scholar?q=Pizzi%2C+E.%2C+Kordopatis-Zilos%2C+G.%2C+Patel%2C+H.%2C+Postelnicu%2C+G.%2C+Ravindra%2C+S.N.%2C+Gupta%2C+A.%2C+Papadopoulos%2C+S.%2C+Tolias%2C+G.%2C+Dou","search")</f>
        <v/>
      </c>
      <c r="G42" s="3" t="n"/>
      <c r="H42" s="3" t="n"/>
      <c r="I42" s="3" t="n"/>
      <c r="J42" s="3" t="n"/>
      <c r="K42" t="inlineStr">
        <is>
          <t>NO</t>
        </is>
      </c>
      <c r="L42" s="3" t="n"/>
    </row>
    <row r="43" ht="42" customHeight="1">
      <c r="A43" t="inlineStr">
        <is>
          <t>F042</t>
        </is>
      </c>
      <c r="B43" t="inlineStr">
        <is>
          <t>2025</t>
        </is>
      </c>
      <c r="C43" t="inlineStr">
        <is>
          <t>Arxiv_CS_2025</t>
        </is>
      </c>
      <c r="D43" t="inlineStr">
        <is>
          <t>2502.00634v2.pdf</t>
        </is>
      </c>
      <c r="E43" s="2" t="inlineStr">
        <is>
          <t xml:space="preserve">Zh→En De→En En→Zh NIR ↓ DD ↓ SLR ↓ COMET NIR ↓ DD ↓ SLR ↓ COMET NIR ↓ DD ↓ SLR ↓ COMET GPT-4/4o 11.39 5.48 0.55 79.13 9.99 5.61 0.92 78.93 25.20 5.52 0.89 80.30 Origin 45.41 6.34 0.56 73.72 34.37 6.31 1.09 75.02 44.05 6.20 0.94 76.97 Table 4: Multi-aspect evaluation on test sets. References Zh→En De→En En→Zh NIR ↓ DD ↓ SLR ↓ COMET NIR ↓ DD ↓ SLR ↓ COMET NIR ↓ DD ↓ SLR ↓ COMET GPT-4/4o 6.48 6.55 0.49 78.32 5.49 5.71 0.92 80.86 10.65 5.63 0.88 81.24 Manually Revised 6.71 6.69 0.52 79.05 5.52 5.84 </t>
        </is>
      </c>
      <c r="F43">
        <f>HYPERLINK("https://scholar.google.com/scholar?q=Zh%E2%86%92En+De%E2%86%92En+En%E2%86%92Zh+NIR+%E2%86%93+DD+%E2%86%93+SLR+%E2%86%93+COMET+NIR+%E2%86%93+DD+%E2%86%93+SLR+%E2%86%93+COMET+NIR+%E2%86%93+DD+%E2%86%93+SLR+%E2%86%93+COMET+GPT-4%2F4o+11.39+5.48+0.55+79.13+9.","search")</f>
        <v/>
      </c>
      <c r="G43" s="3" t="n"/>
      <c r="H43" s="3" t="n"/>
      <c r="I43" s="3" t="n"/>
      <c r="J43" s="3" t="n"/>
      <c r="K43" t="inlineStr">
        <is>
          <t>NO</t>
        </is>
      </c>
      <c r="L43" s="3" t="n"/>
    </row>
    <row r="44" ht="42" customHeight="1">
      <c r="A44" t="inlineStr">
        <is>
          <t>F043</t>
        </is>
      </c>
      <c r="B44" t="inlineStr">
        <is>
          <t>2016</t>
        </is>
      </c>
      <c r="C44" t="inlineStr">
        <is>
          <t>NeurIPS_2016</t>
        </is>
      </c>
      <c r="D44" t="inlineStr">
        <is>
          <t>10907813b97e249163587e6246612e21-Paper.pdf</t>
        </is>
      </c>
      <c r="E44" s="2" t="inlineStr">
        <is>
          <t>Moore AW et al. IJCAI International Joint Conference on Artiﬁcial Intelligence 2:1318–1321, 1999.</t>
        </is>
      </c>
      <c r="F44">
        <f>HYPERLINK("https://scholar.google.com/scholar?q=Moore+AW+et+al.+IJCAI+International+Joint+Conference+on+Arti%EF%AC%81cial+Intelligence+2%3A1318%E2%80%931321%2C+1999.","search")</f>
        <v/>
      </c>
      <c r="G44" s="3" t="n"/>
      <c r="H44" s="3" t="n"/>
      <c r="I44" s="3" t="n"/>
      <c r="J44" s="3" t="n"/>
      <c r="K44" t="inlineStr">
        <is>
          <t>NO</t>
        </is>
      </c>
      <c r="L44" s="3" t="n"/>
    </row>
    <row r="45" ht="42" customHeight="1">
      <c r="A45" t="inlineStr">
        <is>
          <t>F044</t>
        </is>
      </c>
      <c r="B45" t="inlineStr">
        <is>
          <t>2025</t>
        </is>
      </c>
      <c r="C45" t="inlineStr">
        <is>
          <t>Arxiv_CS_2025</t>
        </is>
      </c>
      <c r="D45" t="inlineStr">
        <is>
          <t>2501.17411v1.pdf</t>
        </is>
      </c>
      <c r="E45" s="2" t="inlineStr">
        <is>
          <t>R. A. Fisher, “Iris,” UCI Machine Learning Repository, 1936, DOI: https://doi.org/10.24432/C56C76.</t>
        </is>
      </c>
      <c r="F45">
        <f>HYPERLINK("https://scholar.google.com/scholar?q=R.+A.+Fisher%2C+%E2%80%9CIris%2C%E2%80%9D+UCI+Machine+Learning+Repository%2C+1936%2C+DOI%3A+https%3A%2F%2Fdoi.org%2F10.24432%2FC56C76.","search")</f>
        <v/>
      </c>
      <c r="G45" s="3" t="n"/>
      <c r="H45" s="3" t="n"/>
      <c r="I45" s="3" t="n"/>
      <c r="J45" s="3" t="n"/>
      <c r="K45" t="inlineStr">
        <is>
          <t>NO</t>
        </is>
      </c>
      <c r="L45" s="3" t="n"/>
    </row>
    <row r="46" ht="42" customHeight="1">
      <c r="A46" t="inlineStr">
        <is>
          <t>F045</t>
        </is>
      </c>
      <c r="B46" t="inlineStr">
        <is>
          <t>2025</t>
        </is>
      </c>
      <c r="C46" t="inlineStr">
        <is>
          <t>Arxiv_CS_2025</t>
        </is>
      </c>
      <c r="D46" t="inlineStr">
        <is>
          <t>2501.13994v1.pdf</t>
        </is>
      </c>
      <c r="E46" s="2" t="inlineStr">
        <is>
          <t>Human-level control through deep reinforcement learning. Nature 518 (2015), 529–533. https://api.semanticscholar.org/CorpusID:205242740</t>
        </is>
      </c>
      <c r="F46">
        <f>HYPERLINK("https://scholar.google.com/scholar?q=Human-level+control+through+deep+reinforcement+learning.+Nature+518+%282015%29%2C+529%E2%80%93533.+https%3A%2F%2Fapi.semanticscholar.org%2FCor","search")</f>
        <v/>
      </c>
      <c r="G46" s="3" t="n"/>
      <c r="H46" s="3" t="n"/>
      <c r="I46" s="3" t="n"/>
      <c r="J46" s="3" t="n"/>
      <c r="K46" t="inlineStr">
        <is>
          <t>NO</t>
        </is>
      </c>
      <c r="L46" s="3" t="n"/>
    </row>
    <row r="47" ht="42" customHeight="1">
      <c r="A47" t="inlineStr">
        <is>
          <t>F046</t>
        </is>
      </c>
      <c r="B47" t="inlineStr">
        <is>
          <t>2026</t>
        </is>
      </c>
      <c r="C47" t="inlineStr">
        <is>
          <t>Arxiv_General_Latest</t>
        </is>
      </c>
      <c r="D47" t="inlineStr">
        <is>
          <t>2604.03661v2.pdf</t>
        </is>
      </c>
      <c r="E47" s="2" t="inlineStr">
        <is>
          <t>The SHiP Collaboration. The active muon shield in the ship experiment. JINST, 12(05):P05011, 2017.  10 The SHiP Collaboration A. Aksoy13 , R. Albanese20,e,g , K. Albrecht9 , F. Alessio35 , A. Alexandrov20,d , A. Alikhanov8, F. Aloschi20,d , A. Anokhina27, T. Arndt14 , D. Arutinov13 , A. Ballarino35 , L. Baudin35 , V. Bautin33 , A. Bay36 , I. Bekman13 , C. Betancourt24 , I. Bezshyiko37 , O. Bezshyyko44 , D. Bick12 , M. Birch42 , A. Blanco Castro32 , M. Bogomilov2 P. Borges De Sousa35 , K. Bondare</t>
        </is>
      </c>
      <c r="F47">
        <f>HYPERLINK("https://scholar.google.com/scholar?q=The+SHiP+Collaboration.+The+active+muon+shield+in+the+ship+experiment.+JINST%2C+12%2805%29%3AP05011%2C+2017.++10+The+SHiP+Collabor","search")</f>
        <v/>
      </c>
      <c r="G47" s="3" t="n"/>
      <c r="H47" s="3" t="n"/>
      <c r="I47" s="3" t="n"/>
      <c r="J47" s="3" t="n"/>
      <c r="K47" t="inlineStr">
        <is>
          <t>YES</t>
        </is>
      </c>
      <c r="L47" s="3" t="n"/>
    </row>
    <row r="48" ht="42" customHeight="1">
      <c r="A48" t="inlineStr">
        <is>
          <t>F047</t>
        </is>
      </c>
      <c r="B48" t="inlineStr">
        <is>
          <t>2026</t>
        </is>
      </c>
      <c r="C48" t="inlineStr">
        <is>
          <t>Arxiv_General_Latest</t>
        </is>
      </c>
      <c r="D48" t="inlineStr">
        <is>
          <t>2604.10840v1.pdf</t>
        </is>
      </c>
      <c r="E48" s="2" t="inlineStr">
        <is>
          <t>Alben, Silas, Shelley, Michael &amp; Zhang, Jun 2002 Drag reduction through self-similar bending of a flexible body. Nature 420 (6915), 479–481. Baskaran, Mrudhula, Hutin, Louis &amp; Mulleners, Karen 2023 Reconfiguring it out: How flexible structures interact with fluid flows. Physical Review Fluids 8 (11), 110509. Birch, James M &amp; Dickinson, Michael H 2003 The influence of wing–wake interactions on the production of aerodynamic forces in flapping flight. Journal of experimental biology 206 (13), 2257–</t>
        </is>
      </c>
      <c r="F48">
        <f>HYPERLINK("https://scholar.google.com/scholar?q=Alben%2C+Silas%2C+Shelley%2C+Michael+%26+Zhang%2C+Jun+2002+Drag+reduction+through+self-similar+bending+of+a+flexible+body.+Nature+","search")</f>
        <v/>
      </c>
      <c r="G48" s="3" t="n"/>
      <c r="H48" s="3" t="n"/>
      <c r="I48" s="3" t="n"/>
      <c r="J48" s="3" t="n"/>
      <c r="K48" t="inlineStr">
        <is>
          <t>NO</t>
        </is>
      </c>
      <c r="L48" s="3" t="n"/>
    </row>
    <row r="49" ht="42" customHeight="1">
      <c r="A49" t="inlineStr">
        <is>
          <t>F048</t>
        </is>
      </c>
      <c r="B49" t="inlineStr">
        <is>
          <t>2016</t>
        </is>
      </c>
      <c r="C49" t="inlineStr">
        <is>
          <t>NeurIPS_2016</t>
        </is>
      </c>
      <c r="D49" t="inlineStr">
        <is>
          <t>0deb1c54814305ca9ad266f53bc82511-Paper.pdf</t>
        </is>
      </c>
      <c r="E49" s="2" t="inlineStr">
        <is>
          <t>Y. Xiong, A. Chakrabarti, R. Basri, S. J. Gortler, D. W. Jacobs, and T. Zickler, “From shading to local shape,” TPAMI, 2015.</t>
        </is>
      </c>
      <c r="F49">
        <f>HYPERLINK("https://scholar.google.com/scholar?q=Y.+Xiong%2C+A.+Chakrabarti%2C+R.+Basri%2C+S.+J.+Gortler%2C+D.+W.+Jacobs%2C+and+T.+Zickler%2C+%E2%80%9CFrom+shading+to+local+shape%2C%E2%80%9D+TPAMI%2C+2","search")</f>
        <v/>
      </c>
      <c r="G49" s="3" t="n"/>
      <c r="H49" s="3" t="n"/>
      <c r="I49" s="3" t="n"/>
      <c r="J49" s="3" t="n"/>
      <c r="K49" t="inlineStr">
        <is>
          <t>YES</t>
        </is>
      </c>
      <c r="L49" s="3" t="n"/>
    </row>
    <row r="50" ht="42" customHeight="1">
      <c r="A50" t="inlineStr">
        <is>
          <t>F049</t>
        </is>
      </c>
      <c r="B50" t="inlineStr">
        <is>
          <t>2026</t>
        </is>
      </c>
      <c r="C50" t="inlineStr">
        <is>
          <t>Arxiv_General_Latest</t>
        </is>
      </c>
      <c r="D50" t="inlineStr">
        <is>
          <t>2602.23412v1.pdf</t>
        </is>
      </c>
      <c r="E50" s="2" t="inlineStr">
        <is>
          <t>T. Persson, et al., “LHC optics commissioning in 2023 and 2024”, in Proc. IPAC, (2024), pp. 67–70. doi:10.18429/JACoW-IPAC2024-MOPC12 Acknowledgements We acknowledge the support for the construction and operation of the SND@LHC detector provided by the following funding agencies: CERN; the Bul- garian Ministry of Education and Science within the National Roadmap for Research Infrastructures 2020–2027 (object CERN) and for the support of this study under the National Program “Young Researchers an</t>
        </is>
      </c>
      <c r="F50">
        <f>HYPERLINK("https://scholar.google.com/scholar?q=T.+Persson%2C+et+al.%2C+%E2%80%9CLHC+optics+commissioning+in+2023+and+2024%E2%80%9D%2C+in+Proc.+IPAC%2C+%282024%29%2C+pp.+67%E2%80%9370.+doi%3A10.18429%2FJACoW-IP","search")</f>
        <v/>
      </c>
      <c r="G50" s="3" t="n"/>
      <c r="H50" s="3" t="n"/>
      <c r="I50" s="3" t="n"/>
      <c r="J50" s="3" t="n"/>
      <c r="K50" t="inlineStr">
        <is>
          <t>NO</t>
        </is>
      </c>
      <c r="L50" s="3" t="n"/>
    </row>
    <row r="51" ht="42" customHeight="1">
      <c r="A51" t="inlineStr">
        <is>
          <t>F050</t>
        </is>
      </c>
      <c r="B51" t="inlineStr">
        <is>
          <t>2025</t>
        </is>
      </c>
      <c r="C51" t="inlineStr">
        <is>
          <t>Arxiv_CS_2025</t>
        </is>
      </c>
      <c r="D51" t="inlineStr">
        <is>
          <t>2501.17329v1.pdf</t>
        </is>
      </c>
      <c r="E51" s="2" t="inlineStr">
        <is>
          <t>Hao Peng, Bowen Du, Mingsheng Liu, Mingzhe Liu, Shumei Ji, Senzhang Wang, Xu Zhang, and Lifang He. Dynamic graph convolutional network for long-term traffic flow prediction with reinforcement learning. Information Sciences, 578:401–416, 2021. J. Ross Quinlan. Induction of decision trees. Machine learning, 1:81–106, 1986. Mao Shan, Karan Narula, Yung Fei Wong, Stewart Worrall, Malik Khan, Paul Alexander, and Eduardo Nebot. Demonstrations of cooperative perception: Safety and robustness in connect</t>
        </is>
      </c>
      <c r="F51">
        <f>HYPERLINK("https://scholar.google.com/scholar?q=Hao+Peng%2C+Bowen+Du%2C+Mingsheng+Liu%2C+Mingzhe+Liu%2C+Shumei+Ji%2C+Senzhang+Wang%2C+Xu+Zhang%2C+and+Lifang+He.+Dynamic+graph+convolu","search")</f>
        <v/>
      </c>
      <c r="G51" s="3" t="n"/>
      <c r="H51" s="3" t="n"/>
      <c r="I51" s="3" t="n"/>
      <c r="J51" s="3" t="n"/>
      <c r="K51" t="inlineStr">
        <is>
          <t>NO</t>
        </is>
      </c>
      <c r="L51" s="3" t="n"/>
    </row>
    <row r="52" ht="42" customHeight="1">
      <c r="A52" t="inlineStr">
        <is>
          <t>F051</t>
        </is>
      </c>
      <c r="B52" t="inlineStr">
        <is>
          <t>2016</t>
        </is>
      </c>
      <c r="C52" t="inlineStr">
        <is>
          <t>Arxiv_Bio_2016</t>
        </is>
      </c>
      <c r="D52" t="inlineStr">
        <is>
          <t>1602.07100v2.pdf</t>
        </is>
      </c>
      <c r="E52" s="2" t="inlineStr">
        <is>
          <t>Anderson JS, Ferguson MA, Lopez-Larson M, et al. (2010) Topographic maps of multisensory attention. Proc Natl  Acad Sci U S A 107: 20110-20114.  Barch DM, Burgess GC, Harms MP, et al. (2013) Function in the human connectome: task-fMRI and individual  differences in behavior. Neuroimage 80: 169-189.  Beckmann CF, DeLuca M, Devlin JT, Smith SM (2005) Investigations into resting-state connectivity using  independent component analysis. Philos Trans R Soc Lond B Biol Sci 360: 1001-1013.   Belkin M a</t>
        </is>
      </c>
      <c r="F52">
        <f>HYPERLINK("https://scholar.google.com/scholar?q=Anderson+JS%2C+Ferguson+MA%2C+Lopez-Larson+M%2C+et+al.+%282010%29+Topographic+maps+of+multisensory+attention.+Proc+Natl++Acad+Sci+","search")</f>
        <v/>
      </c>
      <c r="G52" s="3" t="n"/>
      <c r="H52" s="3" t="n"/>
      <c r="I52" s="3" t="n"/>
      <c r="J52" s="3" t="n"/>
      <c r="K52" t="inlineStr">
        <is>
          <t>YES</t>
        </is>
      </c>
      <c r="L52" s="3" t="n"/>
    </row>
    <row r="53" ht="42" customHeight="1">
      <c r="A53" t="inlineStr">
        <is>
          <t>F052</t>
        </is>
      </c>
      <c r="B53" t="inlineStr">
        <is>
          <t>2016</t>
        </is>
      </c>
      <c r="C53" t="inlineStr">
        <is>
          <t>NeurIPS_2016</t>
        </is>
      </c>
      <c r="D53" t="inlineStr">
        <is>
          <t>062ddb6c727310e76b6200b7c71f63b5-Paper.pdf</t>
        </is>
      </c>
      <c r="E53" s="2" t="inlineStr">
        <is>
          <t>S. Saria, D. Koller, and A. Penn. Learning individual and population level traits from clinical temporal data. In Proc. Neural Information Processing Systems (NIPS), Predictive Models in Personalized Medicine workshop. Citeseer, 2010.</t>
        </is>
      </c>
      <c r="F53">
        <f>HYPERLINK("https://scholar.google.com/scholar?q=S.+Saria%2C+D.+Koller%2C+and+A.+Penn.+Learning+individual+and+population+level+traits+from+clinical+temporal+data.+In+Proc.+","search")</f>
        <v/>
      </c>
      <c r="G53" s="3" t="n"/>
      <c r="H53" s="3" t="n"/>
      <c r="I53" s="3" t="n"/>
      <c r="J53" s="3" t="n"/>
      <c r="K53" t="inlineStr">
        <is>
          <t>NO</t>
        </is>
      </c>
      <c r="L53" s="3" t="n"/>
    </row>
    <row r="54" ht="42" customHeight="1">
      <c r="A54" t="inlineStr">
        <is>
          <t>F053</t>
        </is>
      </c>
      <c r="B54" t="inlineStr">
        <is>
          <t>2026</t>
        </is>
      </c>
      <c r="C54" t="inlineStr">
        <is>
          <t>Arxiv_General_Latest</t>
        </is>
      </c>
      <c r="D54" t="inlineStr">
        <is>
          <t>2605.09415v2.pdf</t>
        </is>
      </c>
      <c r="E54" s="2" t="inlineStr">
        <is>
          <t>Olakunle Abayomi Ajala. Leveraging ai/ml for anomaly detection, threat prediction, and au- tomated response. World Journal of Advanced Research and Reviews, 2024.</t>
        </is>
      </c>
      <c r="F54">
        <f>HYPERLINK("https://scholar.google.com/scholar?q=Olakunle+Abayomi+Ajala.+Leveraging+ai%2Fml+for+anomaly+detection%2C+threat+prediction%2C+and+au-+tomated+response.+World+Journ","search")</f>
        <v/>
      </c>
      <c r="G54" s="3" t="n"/>
      <c r="H54" s="3" t="n"/>
      <c r="I54" s="3" t="n"/>
      <c r="J54" s="3" t="n"/>
      <c r="K54" t="inlineStr">
        <is>
          <t>YES</t>
        </is>
      </c>
      <c r="L54" s="3" t="n"/>
    </row>
    <row r="55" ht="42" customHeight="1">
      <c r="A55" t="inlineStr">
        <is>
          <t>F054</t>
        </is>
      </c>
      <c r="B55" t="inlineStr">
        <is>
          <t>2025</t>
        </is>
      </c>
      <c r="C55" t="inlineStr">
        <is>
          <t>Arxiv_CS_2025</t>
        </is>
      </c>
      <c r="D55" t="inlineStr">
        <is>
          <t>2501.06389v1.pdf</t>
        </is>
      </c>
      <c r="E55" s="2" t="inlineStr">
        <is>
          <t>Yu R., Yu W., Wang X. KAN or MLP: A fairer comparison.  arXiv preprint 2024. arXiv:2407.16674.</t>
        </is>
      </c>
      <c r="F55">
        <f>HYPERLINK("https://scholar.google.com/scholar?q=Yu+R.%2C+Yu+W.%2C+Wang+X.+KAN+or+MLP%3A+A+fairer+comparison.++arXiv+preprint+2024.+arXiv%3A2407.16674.","search")</f>
        <v/>
      </c>
      <c r="G55" s="3" t="n"/>
      <c r="H55" s="3" t="n"/>
      <c r="I55" s="3" t="n"/>
      <c r="J55" s="3" t="n"/>
      <c r="K55" t="inlineStr">
        <is>
          <t>NO</t>
        </is>
      </c>
      <c r="L55" s="3" t="n"/>
    </row>
    <row r="56" ht="42" customHeight="1">
      <c r="A56" t="inlineStr">
        <is>
          <t>F055</t>
        </is>
      </c>
      <c r="B56" t="inlineStr">
        <is>
          <t>2026</t>
        </is>
      </c>
      <c r="C56" t="inlineStr">
        <is>
          <t>Arxiv_General_Latest</t>
        </is>
      </c>
      <c r="D56" t="inlineStr">
        <is>
          <t>2603.22085v1.pdf</t>
        </is>
      </c>
      <c r="E56" s="2" t="inlineStr">
        <is>
          <t>Allard, F. 2014, in IAU Symposium, Vol. 299, Exploring the Formation and Evolution of Planetary Systems, ed. M. Booth, B. C. Matthews, &amp; J. R. Graham, 271–272 Allard, F., Homeier, D., &amp; Freytag, B. 2012, Philosophical Transactions of the Royal Society of London Series A, 370, 2765 Allers, K. N., &amp; Liu, M. C. 2013, ApJ, 772, 79 Andrews, S. M., Huang, J., P´erez, L. M., et al. 2018, ApJL, 869, L41 Avenhaus, H., Quanz, S. P., Garufi, A., et al. 2018, ApJ, 863, 44 Baron, E., Hauschildt, P. H., Allar</t>
        </is>
      </c>
      <c r="F56">
        <f>HYPERLINK("https://scholar.google.com/scholar?q=Allard%2C+F.+2014%2C+in+IAU+Symposium%2C+Vol.+299%2C+Exploring+the+Formation+and+Evolution+of+Planetary+Systems%2C+ed.+M.+Booth%2C+B","search")</f>
        <v/>
      </c>
      <c r="G56" s="3" t="n"/>
      <c r="H56" s="3" t="n"/>
      <c r="I56" s="3" t="n"/>
      <c r="J56" s="3" t="n"/>
      <c r="K56" t="inlineStr">
        <is>
          <t>NO</t>
        </is>
      </c>
      <c r="L56" s="3" t="n"/>
    </row>
    <row r="57" ht="42" customHeight="1">
      <c r="A57" t="inlineStr">
        <is>
          <t>F056</t>
        </is>
      </c>
      <c r="B57" t="inlineStr">
        <is>
          <t>2025</t>
        </is>
      </c>
      <c r="C57" t="inlineStr">
        <is>
          <t>Arxiv_CS_2025</t>
        </is>
      </c>
      <c r="D57" t="inlineStr">
        <is>
          <t>2501.09999v1.pdf</t>
        </is>
      </c>
      <c r="E57" s="2" t="inlineStr">
        <is>
          <t>Buntine WL. Bayesian backpropagation. Complex systems. 1991;5:603–643.</t>
        </is>
      </c>
      <c r="F57">
        <f>HYPERLINK("https://scholar.google.com/scholar?q=Buntine+WL.+Bayesian+backpropagation.+Complex+systems.+1991%3B5%3A603%E2%80%93643.","search")</f>
        <v/>
      </c>
      <c r="G57" s="3" t="n"/>
      <c r="H57" s="3" t="n"/>
      <c r="I57" s="3" t="n"/>
      <c r="J57" s="3" t="n"/>
      <c r="K57" t="inlineStr">
        <is>
          <t>NO</t>
        </is>
      </c>
      <c r="L57" s="3" t="n"/>
    </row>
    <row r="58" ht="42" customHeight="1">
      <c r="A58" t="inlineStr">
        <is>
          <t>F057</t>
        </is>
      </c>
      <c r="B58" t="inlineStr">
        <is>
          <t>2026</t>
        </is>
      </c>
      <c r="C58" t="inlineStr">
        <is>
          <t>Arxiv_General_Latest</t>
        </is>
      </c>
      <c r="D58" t="inlineStr">
        <is>
          <t>2602.24078v1.pdf</t>
        </is>
      </c>
      <c r="E58" s="2" t="inlineStr">
        <is>
          <t>Alcalá, J. M., Gangi, M., Biazzo, K., et al. 2021, A&amp;A, 652, A72 Alcalá, J. M., Manara, C. F., Natta, A., et al. 2017, A&amp;A, 600, A20 Amard, L. &amp; Matt, S. P. 2023, A&amp;A, 678, A7 Armeni, A., Stelzer, B., Frasca, A., et al. 2024, A&amp;A, 690, A225 Artigau, É., Cadieux, C., Cook, N. J., et al. 2024, AJ, 168, 252 Artigau, É., Cadieux, C., Cook, N. J., et al. 2022, AJ, 164, 84 Baraﬀe, I., Homeier, D., Allard, F., &amp; Chabrier, G. 2015, A&amp;A, 577, A42 Barber, M. G., Mann, A. W., Vanderburg, A., et al. 2024, N</t>
        </is>
      </c>
      <c r="F58">
        <f>HYPERLINK("https://scholar.google.com/scholar?q=Alcal%C3%A1%2C+J.+M.%2C+Gangi%2C+M.%2C+Biazzo%2C+K.%2C+et+al.+2021%2C+A%26A%2C+652%2C+A72+Alcal%C3%A1%2C+J.+M.%2C+Manara%2C+C.+F.%2C+Natta%2C+A.%2C+et+al.+2017%2C+A","search")</f>
        <v/>
      </c>
      <c r="G58" s="3" t="n"/>
      <c r="H58" s="3" t="n"/>
      <c r="I58" s="3" t="n"/>
      <c r="J58" s="3" t="n"/>
      <c r="K58" t="inlineStr">
        <is>
          <t>NO</t>
        </is>
      </c>
      <c r="L58" s="3" t="n"/>
    </row>
    <row r="59" ht="42" customHeight="1">
      <c r="A59" t="inlineStr">
        <is>
          <t>F058</t>
        </is>
      </c>
      <c r="B59" t="inlineStr">
        <is>
          <t>2025</t>
        </is>
      </c>
      <c r="C59" t="inlineStr">
        <is>
          <t>Arxiv_CS_2025</t>
        </is>
      </c>
      <c r="D59" t="inlineStr">
        <is>
          <t>2501.08922v2.pdf</t>
        </is>
      </c>
      <c r="E59" s="2" t="inlineStr">
        <is>
          <t>Rongxuan Wang, Ruixuan Wang, Chaoran Dou, Shuo Yang, Raghav Gnanasambandam, Anbo Wang, and Zhenyu Kong. Sub-surface thermal measurement in additive manufacturing via machine learning- enabled high-resolution fiber optic sensing. Nature Communications, 15(1):7568, 2024. 30</t>
        </is>
      </c>
      <c r="F59">
        <f>HYPERLINK("https://scholar.google.com/scholar?q=Rongxuan+Wang%2C+Ruixuan+Wang%2C+Chaoran+Dou%2C+Shuo+Yang%2C+Raghav+Gnanasambandam%2C+Anbo+Wang%2C+and+Zhenyu+Kong.+Sub-surface+ther","search")</f>
        <v/>
      </c>
      <c r="G59" s="3" t="n"/>
      <c r="H59" s="3" t="n"/>
      <c r="I59" s="3" t="n"/>
      <c r="J59" s="3" t="n"/>
      <c r="K59" t="inlineStr">
        <is>
          <t>NO</t>
        </is>
      </c>
      <c r="L59" s="3" t="n"/>
    </row>
    <row r="60" ht="42" customHeight="1">
      <c r="A60" t="inlineStr">
        <is>
          <t>F059</t>
        </is>
      </c>
      <c r="B60" t="inlineStr">
        <is>
          <t>2026</t>
        </is>
      </c>
      <c r="C60" t="inlineStr">
        <is>
          <t>Arxiv_General_Latest</t>
        </is>
      </c>
      <c r="D60" t="inlineStr">
        <is>
          <t>2606.04567v1.pdf</t>
        </is>
      </c>
      <c r="E60" s="2" t="inlineStr">
        <is>
          <t>Astropy Collaboration et al., 2013, A&amp;A, 558, A33 Astropy Collaboration et al., 2018, AJ, 156, 123 Astropy Collaboration et al., 2022, ApJ, 935, 167 Belokurov V., Erkal D., Evans N. W., Koposov S. E., Deason A. J., 2018, MNRAS, 478, 611 Bennett M., Bovy J., 2019, MNRAS, 482, 1417 Berni L., Palla M., Magrini L., Spina L., 2026, A&amp;A, 707, A242 Betancourt M., 2017, arXiv e-prints, p. arXiv:1706.01520 Bingham E., et al., 2018, arXiv e-prints, p. arXiv:1810.09538 Borsato N. W., Hoeijmakers H. J., Pri</t>
        </is>
      </c>
      <c r="F60">
        <f>HYPERLINK("https://scholar.google.com/scholar?q=Astropy+Collaboration+et+al.%2C+2013%2C+A%26A%2C+558%2C+A33+Astropy+Collaboration+et+al.%2C+2018%2C+AJ%2C+156%2C+123+Astropy+Collaboration","search")</f>
        <v/>
      </c>
      <c r="G60" s="3" t="n"/>
      <c r="H60" s="3" t="n"/>
      <c r="I60" s="3" t="n"/>
      <c r="J60" s="3" t="n"/>
      <c r="K60" t="inlineStr">
        <is>
          <t>NO</t>
        </is>
      </c>
      <c r="L60" s="3" t="n"/>
    </row>
    <row r="61" ht="42" customHeight="1">
      <c r="A61" t="inlineStr">
        <is>
          <t>F060</t>
        </is>
      </c>
      <c r="B61" t="inlineStr">
        <is>
          <t>2026</t>
        </is>
      </c>
      <c r="C61" t="inlineStr">
        <is>
          <t>Arxiv_General_Latest</t>
        </is>
      </c>
      <c r="D61" t="inlineStr">
        <is>
          <t>2603.17968v1.pdf</t>
        </is>
      </c>
      <c r="E61" s="2" t="inlineStr">
        <is>
          <t>Xiaoxiao Qi and Konstantinos Arfanakis. Regionconnect: Rapidly extracting standardized brain connectivity information in voxel-wise neuroimaging studies. NeuroImage, 225:117462, 2021. Acknowledgements Data collection and sharing for this project was provided by the Cambridge Centre for Ageing and Neuroscience (CamCAN). CamCAN funding was provided by the UK Biotechnology and Biological Sciences Research Council (grant number BB/H008217/1), together with support from the UK Medical Research Counci</t>
        </is>
      </c>
      <c r="F61">
        <f>HYPERLINK("https://scholar.google.com/scholar?q=Xiaoxiao+Qi+and+Konstantinos+Arfanakis.+Regionconnect%3A+Rapidly+extracting+standardized+brain+connectivity+information+in","search")</f>
        <v/>
      </c>
      <c r="G61" s="3" t="n"/>
      <c r="H61" s="3" t="n"/>
      <c r="I61" s="3" t="n"/>
      <c r="J61" s="3" t="n"/>
      <c r="K61" t="inlineStr">
        <is>
          <t>YES</t>
        </is>
      </c>
      <c r="L61" s="3" t="n"/>
    </row>
    <row r="62" ht="42" customHeight="1">
      <c r="A62" t="inlineStr">
        <is>
          <t>F061</t>
        </is>
      </c>
      <c r="B62" t="inlineStr">
        <is>
          <t>2023</t>
        </is>
      </c>
      <c r="C62" t="inlineStr">
        <is>
          <t>NeurIPS_2023</t>
        </is>
      </c>
      <c r="D62" t="inlineStr">
        <is>
          <t>056e8e9c8ca9929cb6cf198952bf1dbb-Paper-Conference.pdf</t>
        </is>
      </c>
      <c r="E62" s="2" t="inlineStr">
        <is>
          <t>Aditya Ramesh, Mikhail Pavlov, Gabriel Goh, Scott Gray, Chelsea Voss, Alec Radford, Mark Chen, and Ilya Sutskever. Zero-shot text-to-image generation. In International Conference on Machine Learning, pages 8821–8831. PMLR, 2021.</t>
        </is>
      </c>
      <c r="F62">
        <f>HYPERLINK("https://scholar.google.com/scholar?q=Aditya+Ramesh%2C+Mikhail+Pavlov%2C+Gabriel+Goh%2C+Scott+Gray%2C+Chelsea+Voss%2C+Alec+Radford%2C+Mark+Chen%2C+and+Ilya+Sutskever.+Zero-","search")</f>
        <v/>
      </c>
      <c r="G62" s="3" t="n"/>
      <c r="H62" s="3" t="n"/>
      <c r="I62" s="3" t="n"/>
      <c r="J62" s="3" t="n"/>
      <c r="K62" t="inlineStr">
        <is>
          <t>NO</t>
        </is>
      </c>
      <c r="L62" s="3" t="n"/>
    </row>
    <row r="63" ht="42" customHeight="1">
      <c r="A63" t="inlineStr">
        <is>
          <t>F062</t>
        </is>
      </c>
      <c r="B63" t="inlineStr">
        <is>
          <t>2025</t>
        </is>
      </c>
      <c r="C63" t="inlineStr">
        <is>
          <t>Arxiv_CS_2025</t>
        </is>
      </c>
      <c r="D63" t="inlineStr">
        <is>
          <t>2501.16364v1.pdf</t>
        </is>
      </c>
      <c r="E63" s="2" t="inlineStr">
        <is>
          <t>Jingkun Gao, Xiaomin Song, Qingsong Wen, Pichao Wang, Liang Sun, and Huan Xu. 2020. Robusttad: Robust time series anomaly detection via decomposition and convolutional neural networks. arXiv preprint arXiv:2002.09545 (2020).</t>
        </is>
      </c>
      <c r="F63">
        <f>HYPERLINK("https://scholar.google.com/scholar?q=Jingkun+Gao%2C+Xiaomin+Song%2C+Qingsong+Wen%2C+Pichao+Wang%2C+Liang+Sun%2C+and+Huan+Xu.+2020.+Robusttad%3A+Robust+time+series+anomal","search")</f>
        <v/>
      </c>
      <c r="G63" s="3" t="n"/>
      <c r="H63" s="3" t="n"/>
      <c r="I63" s="3" t="n"/>
      <c r="J63" s="3" t="n"/>
      <c r="K63" t="inlineStr">
        <is>
          <t>NO</t>
        </is>
      </c>
      <c r="L63" s="3" t="n"/>
    </row>
    <row r="64" ht="42" customHeight="1">
      <c r="A64" t="inlineStr">
        <is>
          <t>F063</t>
        </is>
      </c>
      <c r="B64" t="inlineStr">
        <is>
          <t>2023</t>
        </is>
      </c>
      <c r="C64" t="inlineStr">
        <is>
          <t>NeurIPS_2023</t>
        </is>
      </c>
      <c r="D64" t="inlineStr">
        <is>
          <t>0534abc9e6db91683d82186ef0d68202-Paper-Conference.pdf</t>
        </is>
      </c>
      <c r="E64" s="2" t="inlineStr">
        <is>
          <t>[16] Shamit Lal, Mihir Prabhudesai, Ishita Mediratta, Adam W Harley, and Katerina Fragkiadaki. Coconets: Continuous contrastive 3d scene representations. In Proc. CVPR, pages 12487–12496, 2021.</t>
        </is>
      </c>
      <c r="F64">
        <f>HYPERLINK("https://scholar.google.com/scholar?q=%5B16%5D+Shamit+Lal%2C+Mihir+Prabhudesai%2C+Ishita+Mediratta%2C+Adam+W+Harley%2C+and+Katerina+Fragkiadaki.+Coconets%3A+Continuous+cont","search")</f>
        <v/>
      </c>
      <c r="G64" s="3" t="n"/>
      <c r="H64" s="3" t="n"/>
      <c r="I64" s="3" t="n"/>
      <c r="J64" s="3" t="n"/>
      <c r="K64" t="inlineStr">
        <is>
          <t>NO</t>
        </is>
      </c>
      <c r="L64" s="3" t="n"/>
    </row>
    <row r="65" ht="42" customHeight="1">
      <c r="A65" t="inlineStr">
        <is>
          <t>F064</t>
        </is>
      </c>
      <c r="B65" t="inlineStr">
        <is>
          <t>2023</t>
        </is>
      </c>
      <c r="C65" t="inlineStr">
        <is>
          <t>NeurIPS_2023</t>
        </is>
      </c>
      <c r="D65" t="inlineStr">
        <is>
          <t>06d5f1fe6509b001e6d4e0ec1afd83dd-Paper-Conference.pdf</t>
        </is>
      </c>
      <c r="E65" s="2" t="inlineStr">
        <is>
          <t>Kaiyang Zhou, Jingkang Yang, Chen Change Loy, and Ziwei Liu. Learning to prompt for vision-language models. International Journal of Computer Vision, 130(9):2337–2348, 2022. 13  Broader Impact Our research, UP-DP, a new method for data pre-selection, holds substantial positive societal impacts. By incorporating unsupervised prompt learning into vision-language models for data pre-selection, our approach improves the efficiency of data labeling and reduces the computational resources required for</t>
        </is>
      </c>
      <c r="F65">
        <f>HYPERLINK("https://scholar.google.com/scholar?q=Kaiyang+Zhou%2C+Jingkang+Yang%2C+Chen+Change+Loy%2C+and+Ziwei+Liu.+Learning+to+prompt+for+vision-language+models.+Internationa","search")</f>
        <v/>
      </c>
      <c r="G65" s="3" t="n"/>
      <c r="H65" s="3" t="n"/>
      <c r="I65" s="3" t="n"/>
      <c r="J65" s="3" t="n"/>
      <c r="K65" t="inlineStr">
        <is>
          <t>NO</t>
        </is>
      </c>
      <c r="L65" s="3" t="n"/>
    </row>
    <row r="66" ht="42" customHeight="1">
      <c r="A66" t="inlineStr">
        <is>
          <t>F065</t>
        </is>
      </c>
      <c r="B66" t="inlineStr">
        <is>
          <t>2025</t>
        </is>
      </c>
      <c r="C66" t="inlineStr">
        <is>
          <t>Arxiv_CS_2025</t>
        </is>
      </c>
      <c r="D66" t="inlineStr">
        <is>
          <t>2502.03482v1.pdf</t>
        </is>
      </c>
      <c r="E66" s="2" t="inlineStr">
        <is>
          <t>Yunfeng Zhang, Q Vera Liao, and Rachel KE Bellamy. 2020. Effect of Confidence and Explanation on Accuracy and Trust Calibration in AI-Assisted Decision Making. arXiv preprint arXiv:2001.02114 (2020). A Model Impementation Details Training configurations We use the established nnU-Net implementation2 for image segmentation. The framework was configured to handle dataset preprocessing, augmentation, and training pipeline generation automatically. The training process utilized a batch size of 8 and</t>
        </is>
      </c>
      <c r="F66">
        <f>HYPERLINK("https://scholar.google.com/scholar?q=Yunfeng+Zhang%2C+Q+Vera+Liao%2C+and+Rachel+KE+Bellamy.+2020.+Effect+of+Confidence+and+Explanation+on+Accuracy+and+Trust+Cali","search")</f>
        <v/>
      </c>
      <c r="G66" s="3" t="n"/>
      <c r="H66" s="3" t="n"/>
      <c r="I66" s="3" t="n"/>
      <c r="J66" s="3" t="n"/>
      <c r="K66" t="inlineStr">
        <is>
          <t>NO</t>
        </is>
      </c>
      <c r="L66" s="3" t="n"/>
    </row>
    <row r="67" ht="42" customHeight="1">
      <c r="A67" t="inlineStr">
        <is>
          <t>F066</t>
        </is>
      </c>
      <c r="B67" t="inlineStr">
        <is>
          <t>2016</t>
        </is>
      </c>
      <c r="C67" t="inlineStr">
        <is>
          <t>NeurIPS_2016</t>
        </is>
      </c>
      <c r="D67" t="inlineStr">
        <is>
          <t>0a87257e5308197df43230edf4ad1dae-Paper.pdf</t>
        </is>
      </c>
      <c r="E67" s="2" t="inlineStr">
        <is>
          <t xml:space="preserve">A. Harmon. Amazon glitch unmasks war of reviewers. New York Times, 2004. P. W. Holland, K. B. Laskey, and S. Leinhardt. Stochastic blockmodels: Some ﬁrst steps. Social Networks, 1983. V. Kamble, N. Shah, D. Marn, A. Parekh, and K. Ramachandran. Truth serums for massively crowdsourced evaluation tasks. arXiv, 2015. D. R. Karger, S. Oh, and D. Shah. Budget-optimal task allocation for reliable crowdsourcing systems. Operations Research, 62(1):1–24, 2014. M. Krivelevich and D. Vilenchik. Semirandom </t>
        </is>
      </c>
      <c r="F67">
        <f>HYPERLINK("https://scholar.google.com/scholar?q=A.+Harmon.+Amazon+glitch+unmasks+war+of+reviewers.+New+York+Times%2C+2004.+P.+W.+Holland%2C+K.+B.+Laskey%2C+and+S.+Leinhardt.+","search")</f>
        <v/>
      </c>
      <c r="G67" s="3" t="n"/>
      <c r="H67" s="3" t="n"/>
      <c r="I67" s="3" t="n"/>
      <c r="J67" s="3" t="n"/>
      <c r="K67" t="inlineStr">
        <is>
          <t>NO</t>
        </is>
      </c>
      <c r="L67" s="3" t="n"/>
    </row>
    <row r="68" ht="42" customHeight="1">
      <c r="A68" t="inlineStr">
        <is>
          <t>F067</t>
        </is>
      </c>
      <c r="B68" t="inlineStr">
        <is>
          <t>2025</t>
        </is>
      </c>
      <c r="C68" t="inlineStr">
        <is>
          <t>Arxiv_CS_2025</t>
        </is>
      </c>
      <c r="D68" t="inlineStr">
        <is>
          <t>2501.15648v1.pdf</t>
        </is>
      </c>
      <c r="E68" s="2" t="inlineStr">
        <is>
          <t>Fabian Pedregosa, Ga¨el Varoquaux, Alexandre Gramfort, Vincent Michel, Bertrand Thirion, Olivier Grisel, Mathieu Blondel, Peter Prettenhofer, Ron Weiss, Vincent Dubourg, et al. Scikit-learn: Machine learning in python. the Journal of machine Learning research, 12:2825–2830, 2011. 4</t>
        </is>
      </c>
      <c r="F68">
        <f>HYPERLINK("https://scholar.google.com/scholar?q=Fabian+Pedregosa%2C+Ga%C2%A8el+Varoquaux%2C+Alexandre+Gramfort%2C+Vincent+Michel%2C+Bertrand+Thirion%2C+Olivier+Grisel%2C+Mathieu+Blondel","search")</f>
        <v/>
      </c>
      <c r="G68" s="3" t="n"/>
      <c r="H68" s="3" t="n"/>
      <c r="I68" s="3" t="n"/>
      <c r="J68" s="3" t="n"/>
      <c r="K68" t="inlineStr">
        <is>
          <t>NO</t>
        </is>
      </c>
      <c r="L68" s="3" t="n"/>
    </row>
    <row r="69" ht="42" customHeight="1">
      <c r="A69" t="inlineStr">
        <is>
          <t>F068</t>
        </is>
      </c>
      <c r="B69" t="inlineStr">
        <is>
          <t>2023</t>
        </is>
      </c>
      <c r="C69" t="inlineStr">
        <is>
          <t>NeurIPS_2023</t>
        </is>
      </c>
      <c r="D69" t="inlineStr">
        <is>
          <t>05fb0f4e645cad23e0ab59d6b9901428-Paper-Conference.pdf</t>
        </is>
      </c>
      <c r="E69" s="2" t="inlineStr">
        <is>
          <t>Boris van Breugel, Zhaozhi Qian, and Mihaela van der Schaar. Synthetic data, real errors: how (not) to publish and use synthetic data. In International Conference on Machine Learning. PMLR, 2023.</t>
        </is>
      </c>
      <c r="F69">
        <f>HYPERLINK("https://scholar.google.com/scholar?q=Boris+van+Breugel%2C+Zhaozhi+Qian%2C+and+Mihaela+van+der+Schaar.+Synthetic+data%2C+real+errors%3A+how+%28not%29+to+publish+and+use+s","search")</f>
        <v/>
      </c>
      <c r="G69" s="3" t="n"/>
      <c r="H69" s="3" t="n"/>
      <c r="I69" s="3" t="n"/>
      <c r="J69" s="3" t="n"/>
      <c r="K69" t="inlineStr">
        <is>
          <t>YES</t>
        </is>
      </c>
      <c r="L69" s="3" t="n"/>
    </row>
    <row r="70" ht="42" customHeight="1">
      <c r="A70" t="inlineStr">
        <is>
          <t>F069</t>
        </is>
      </c>
      <c r="B70" t="inlineStr">
        <is>
          <t>2025</t>
        </is>
      </c>
      <c r="C70" t="inlineStr">
        <is>
          <t>Arxiv_CS_2025</t>
        </is>
      </c>
      <c r="D70" t="inlineStr">
        <is>
          <t>2501.08922v2.pdf</t>
        </is>
      </c>
      <c r="E70" s="2" t="inlineStr">
        <is>
          <t>Alexander J Myers, Guadalupe Quirarte, Francis Ogoke, Brandon M Lane, Syed Zia Uddin, Amir Barati Farimani, Jack L Beuth, and Jonathan A Malen. High-resolution melt pool thermal imaging for metals additive manufacturing using the two-color method with a color camera. Additive Manufacturing, 73:103663, 2023.</t>
        </is>
      </c>
      <c r="F70">
        <f>HYPERLINK("https://scholar.google.com/scholar?q=Alexander+J+Myers%2C+Guadalupe+Quirarte%2C+Francis+Ogoke%2C+Brandon+M+Lane%2C+Syed+Zia+Uddin%2C+Amir+Barati+Farimani%2C+Jack+L+Beuth","search")</f>
        <v/>
      </c>
      <c r="G70" s="3" t="n"/>
      <c r="H70" s="3" t="n"/>
      <c r="I70" s="3" t="n"/>
      <c r="J70" s="3" t="n"/>
      <c r="K70" t="inlineStr">
        <is>
          <t>NO</t>
        </is>
      </c>
      <c r="L70" s="3" t="n"/>
    </row>
    <row r="71" ht="42" customHeight="1">
      <c r="A71" t="inlineStr">
        <is>
          <t>F070</t>
        </is>
      </c>
      <c r="B71" t="inlineStr">
        <is>
          <t>2023</t>
        </is>
      </c>
      <c r="C71" t="inlineStr">
        <is>
          <t>Arxiv_CS_2023</t>
        </is>
      </c>
      <c r="D71" t="inlineStr">
        <is>
          <t>2310.10685v1.pdf</t>
        </is>
      </c>
      <c r="E71" s="2" t="inlineStr">
        <is>
          <t>11  [KCV+23] Ana Kostovska, Gjorgjina Cenikj, Diederick Vermetten, Anja Jankovic, Ana Nikolikj, Urban Škvorc, Peter Korošec, Carola Doerr, and Tome Eftimov, PS-AAS: Portfolio Selection for Automated Algorithm Selection in Black-Box Optimization - Reproducibility Repository, March 2023, https://doi.org/10.5281/zenodo.7866416. [KHNT19] Pascal Kerschke, Holger Hoos, Frank Neumann, and Heike Trautmann, Automated algorithm selection: Survey and perspectives, Evolutionary Computation 27 (2019), no. 1,</t>
        </is>
      </c>
      <c r="F71">
        <f>HYPERLINK("https://scholar.google.com/scholar?q=11++%5BKCV%2B23%5D+Ana+Kostovska%2C+Gjorgjina+Cenikj%2C+Diederick+Vermetten%2C+Anja+Jankovic%2C+Ana+Nikolikj%2C+Urban+%C5%A0kvorc%2C+Peter+Koro","search")</f>
        <v/>
      </c>
      <c r="G71" s="3" t="n"/>
      <c r="H71" s="3" t="n"/>
      <c r="I71" s="3" t="n"/>
      <c r="J71" s="3" t="n"/>
      <c r="K71" t="inlineStr">
        <is>
          <t>YES</t>
        </is>
      </c>
      <c r="L71" s="3" t="n"/>
    </row>
    <row r="72" ht="42" customHeight="1">
      <c r="A72" t="inlineStr">
        <is>
          <t>F071</t>
        </is>
      </c>
      <c r="B72" t="inlineStr">
        <is>
          <t>2026</t>
        </is>
      </c>
      <c r="C72" t="inlineStr">
        <is>
          <t>Arxiv_General_Latest</t>
        </is>
      </c>
      <c r="D72" t="inlineStr">
        <is>
          <t>2603.11912v2.pdf</t>
        </is>
      </c>
      <c r="E72" s="2" t="inlineStr">
        <is>
          <t>H. S. Carslaw and J. C. Jaeger. Conduction of heat in solids. Oxford University Press. The TCV team∗ A. Abdolmaleki2, M. Agostini3, C.J. Ajay4, S. Alberti1, E. Alessi5, G. Anastasiou6, Y. Andrèbe1, G.M. Apruzzese7, F. Auriemma3, J. Ayllon-Guerola8, F. Bagnato1, A. Baillod1, F. Bairaktaris9, L. Balbinot3, A. Balestri1, M. Baquero-Ruiz1, C. Barcellona10, M. Bernert11, W. Bin5, P. Blanchard1, J. Boedo12, T. Bolzonella3, F. Bombarda7, L. Boncagni7, M. Bonotto3, T.O.S.J. Bosman13,43, D. Brida11, D. B</t>
        </is>
      </c>
      <c r="F72">
        <f>HYPERLINK("https://scholar.google.com/scholar?q=H.+S.+Carslaw+and+J.+C.+Jaeger.+Conduction+of+heat+in+solids.+Oxford+University+Press.+The+TCV+team%E2%88%97+A.+Abdolmaleki2%2C+M.","search")</f>
        <v/>
      </c>
      <c r="G72" s="3" t="n"/>
      <c r="H72" s="3" t="n"/>
      <c r="I72" s="3" t="n"/>
      <c r="J72" s="3" t="n"/>
      <c r="K72" t="inlineStr">
        <is>
          <t>NO</t>
        </is>
      </c>
      <c r="L72" s="3" t="n"/>
    </row>
    <row r="73" ht="42" customHeight="1">
      <c r="A73" t="inlineStr">
        <is>
          <t>F072</t>
        </is>
      </c>
      <c r="B73" t="inlineStr">
        <is>
          <t>2025</t>
        </is>
      </c>
      <c r="C73" t="inlineStr">
        <is>
          <t>Arxiv_CS_2025</t>
        </is>
      </c>
      <c r="D73" t="inlineStr">
        <is>
          <t>2501.16361v1.pdf</t>
        </is>
      </c>
      <c r="E73" s="2" t="inlineStr">
        <is>
          <t xml:space="preserve">Xu K, Li C, Tian Y, Sonobe T, Kawarabayashi K ichi, Jegelka S. Representation Learning  on Graphs with Jumping Knowledge Networks. Published online June 9, 2018. Accessed  October 10, 2020. https://arxiv.org/abs/1806.03536       Supp results: Disease biomarkers mining and pathway analysis  Our analysis also identified new disease biomarkers and signaling pathways.                         A                                           B                                             C                  </t>
        </is>
      </c>
      <c r="F73">
        <f>HYPERLINK("https://scholar.google.com/scholar?q=Xu+K%2C+Li+C%2C+Tian+Y%2C+Sonobe+T%2C+Kawarabayashi+K+ichi%2C+Jegelka+S.+Representation+Learning++on+Graphs+with+Jumping+Knowledge","search")</f>
        <v/>
      </c>
      <c r="G73" s="3" t="n"/>
      <c r="H73" s="3" t="n"/>
      <c r="I73" s="3" t="n"/>
      <c r="J73" s="3" t="n"/>
      <c r="K73" t="inlineStr">
        <is>
          <t>NO</t>
        </is>
      </c>
      <c r="L73" s="3" t="n"/>
    </row>
    <row r="74" ht="42" customHeight="1">
      <c r="A74" t="inlineStr">
        <is>
          <t>F073</t>
        </is>
      </c>
      <c r="B74" t="inlineStr">
        <is>
          <t>2023</t>
        </is>
      </c>
      <c r="C74" t="inlineStr">
        <is>
          <t>NeurIPS_2023</t>
        </is>
      </c>
      <c r="D74" t="inlineStr">
        <is>
          <t>060b2af0081a460f7f466f7f174d9052-Paper-Conference.pdf</t>
        </is>
      </c>
      <c r="E74" s="2" t="inlineStr">
        <is>
          <t>Ahmet Burakhan Koyuncu, Han Gao, Atanas Boev, Georgii Gaikov, Elena Alshina, and Eckehard G. Steinbach. Contextformer: A transformer with spatio-channel attention for context modeling in learned image compression. In Computer Vision–ECCV 2022: 17th European Conference, Tel Aviv, Israel, Octo- ber 23–27, 2022, Proceedings, Part XIX. Springer, 2022. 2</t>
        </is>
      </c>
      <c r="F74">
        <f>HYPERLINK("https://scholar.google.com/scholar?q=Ahmet+Burakhan+Koyuncu%2C+Han+Gao%2C+Atanas+Boev%2C+Georgii+Gaikov%2C+Elena+Alshina%2C+and+Eckehard+G.+Steinbach.+Contextformer%3A+A","search")</f>
        <v/>
      </c>
      <c r="G74" s="3" t="n"/>
      <c r="H74" s="3" t="n"/>
      <c r="I74" s="3" t="n"/>
      <c r="J74" s="3" t="n"/>
      <c r="K74" t="inlineStr">
        <is>
          <t>NO</t>
        </is>
      </c>
      <c r="L74" s="3" t="n"/>
    </row>
    <row r="75" ht="42" customHeight="1">
      <c r="A75" t="inlineStr">
        <is>
          <t>F074</t>
        </is>
      </c>
      <c r="B75" t="inlineStr">
        <is>
          <t>2023</t>
        </is>
      </c>
      <c r="C75" t="inlineStr">
        <is>
          <t>Arxiv_Bio_2023</t>
        </is>
      </c>
      <c r="D75" t="inlineStr">
        <is>
          <t>2301.04739v2.pdf</t>
        </is>
      </c>
      <c r="E75" s="2" t="inlineStr">
        <is>
          <t>Akieda, Y., Ogamino, S., Furuie, H., Ishitani, S., Akiyoshi, R., Nogami, J., Masuda, T., Shimizu, N., Ohkawa, Y.  and Ishitani, T. (2019). Cell competition corrects noisy Wnt morphogen gradients to achieve robust patterning  in the zebrafish embryo. Nature communications 10, 1-17.  Alberts, B. (1998). The cell as a collection of protein machines: preparing the next generation of molecular  biologists. Cell 92, 291-294.  Bassler, B. L. and Losick, R. (2006). Bacterially speaking. Cell 125, 237-24</t>
        </is>
      </c>
      <c r="F75">
        <f>HYPERLINK("https://scholar.google.com/scholar?q=Akieda%2C+Y.%2C+Ogamino%2C+S.%2C+Furuie%2C+H.%2C+Ishitani%2C+S.%2C+Akiyoshi%2C+R.%2C+Nogami%2C+J.%2C+Masuda%2C+T.%2C+Shimizu%2C+N.%2C+Ohkawa%2C+Y.++and+Is","search")</f>
        <v/>
      </c>
      <c r="G75" s="3" t="n"/>
      <c r="H75" s="3" t="n"/>
      <c r="I75" s="3" t="n"/>
      <c r="J75" s="3" t="n"/>
      <c r="K75" t="inlineStr">
        <is>
          <t>NO</t>
        </is>
      </c>
      <c r="L75" s="3" t="n"/>
    </row>
    <row r="76" ht="42" customHeight="1">
      <c r="A76" t="inlineStr">
        <is>
          <t>F075</t>
        </is>
      </c>
      <c r="B76" t="inlineStr">
        <is>
          <t>2023</t>
        </is>
      </c>
      <c r="C76" t="inlineStr">
        <is>
          <t>Arxiv_CS_2023</t>
        </is>
      </c>
      <c r="D76" t="inlineStr">
        <is>
          <t>2312.11675v2.pdf</t>
        </is>
      </c>
      <c r="E76" s="2" t="inlineStr">
        <is>
          <t>Pattern database heuristics for fully observable non- deterministic planning. In 20th International Conference on Automated Planning and Scheduling, 105–112. Messa, F.; and Pereira, A. G. 2023. A Best-First Search Algorithm for FOND Planning and Heuristic Functions to Optimize Decompressed Solution Size. In The 33rd Interna- tional Conference on Automated Planning and Scheduling, The 33rd International Conference on Automated Planning and Scheduling. Muise, C.; Chakraborti, T.; Agarwal, S.; Bajg</t>
        </is>
      </c>
      <c r="F76">
        <f>HYPERLINK("https://scholar.google.com/scholar?q=Pattern+database+heuristics+for+fully+observable+non-+deterministic+planning.+In+20th+International+Conference+on+Automa","search")</f>
        <v/>
      </c>
      <c r="G76" s="3" t="n"/>
      <c r="H76" s="3" t="n"/>
      <c r="I76" s="3" t="n"/>
      <c r="J76" s="3" t="n"/>
      <c r="K76" t="inlineStr">
        <is>
          <t>NO</t>
        </is>
      </c>
      <c r="L76" s="3" t="n"/>
    </row>
    <row r="77" ht="42" customHeight="1">
      <c r="A77" t="inlineStr">
        <is>
          <t>F076</t>
        </is>
      </c>
      <c r="B77" t="inlineStr">
        <is>
          <t>2023</t>
        </is>
      </c>
      <c r="C77" t="inlineStr">
        <is>
          <t>NeurIPS_2023</t>
        </is>
      </c>
      <c r="D77" t="inlineStr">
        <is>
          <t>02a92b52670752daf17b53f04f1ab405-Paper-Conference.pdf</t>
        </is>
      </c>
      <c r="E77" s="2" t="inlineStr">
        <is>
          <t>J. D. Batson, D. A. Spielman, and N. Srivastava. Twice-ramanujan sparsifiers. In Proceedings of the forty-first annual ACM symposium on Theory of computing, pages 255–262, 2009. C. Boutsidis, M. W. Mahoney, and P. Drineas. Unsupervised feature selection for principal compo- nents analysis. In Proceedings of the 14th ACM SIGKDD international conference on Knowledge discovery and data mining, pages 61–69, 2008. C. Boutsidis, M. W. Mahoney, and P. Drineas. An improved approximation algorithm for th</t>
        </is>
      </c>
      <c r="F77">
        <f>HYPERLINK("https://scholar.google.com/scholar?q=J.+D.+Batson%2C+D.+A.+Spielman%2C+and+N.+Srivastava.+Twice-ramanujan+sparsifiers.+In+Proceedings+of+the+forty-first+annual+A","search")</f>
        <v/>
      </c>
      <c r="G77" s="3" t="n"/>
      <c r="H77" s="3" t="n"/>
      <c r="I77" s="3" t="n"/>
      <c r="J77" s="3" t="n"/>
      <c r="K77" t="inlineStr">
        <is>
          <t>NO</t>
        </is>
      </c>
      <c r="L77" s="3" t="n"/>
    </row>
    <row r="78" ht="42" customHeight="1">
      <c r="A78" t="inlineStr">
        <is>
          <t>F077</t>
        </is>
      </c>
      <c r="B78" t="inlineStr">
        <is>
          <t>2025</t>
        </is>
      </c>
      <c r="C78" t="inlineStr">
        <is>
          <t>Arxiv_CS_2025</t>
        </is>
      </c>
      <c r="D78" t="inlineStr">
        <is>
          <t>2501.15648v1.pdf</t>
        </is>
      </c>
      <c r="E78" s="2" t="inlineStr">
        <is>
          <t>Dilliraj Ekambaram and Vijayakumar Ponnusamy. Real-time ai-assisted visual exercise pose correctness during rehabilita- tion training for musculoskeletal disorder. Journal of Real- Time Image Processing, 21(1):2, 2024. 1</t>
        </is>
      </c>
      <c r="F78">
        <f>HYPERLINK("https://scholar.google.com/scholar?q=Dilliraj+Ekambaram+and+Vijayakumar+Ponnusamy.+Real-time+ai-assisted+visual+exercise+pose+correctness+during+rehabilita-+","search")</f>
        <v/>
      </c>
      <c r="G78" s="3" t="n"/>
      <c r="H78" s="3" t="n"/>
      <c r="I78" s="3" t="n"/>
      <c r="J78" s="3" t="n"/>
      <c r="K78" t="inlineStr">
        <is>
          <t>NO</t>
        </is>
      </c>
      <c r="L78" s="3" t="n"/>
    </row>
    <row r="79" ht="42" customHeight="1">
      <c r="A79" t="inlineStr">
        <is>
          <t>F078</t>
        </is>
      </c>
      <c r="B79" t="inlineStr">
        <is>
          <t>2026</t>
        </is>
      </c>
      <c r="C79" t="inlineStr">
        <is>
          <t>Arxiv_General_Latest</t>
        </is>
      </c>
      <c r="D79" t="inlineStr">
        <is>
          <t>2604.17794v1.pdf</t>
        </is>
      </c>
      <c r="E79" s="2" t="inlineStr">
        <is>
          <t>Khả năng diễn giải (Explanation): Khả năng giải  thích rõ ràng bằng tiếng Việt.     - 5 điểm: Diễn đạt rất rõ ràng, mạch lạc; sử dụng thuật  ngữ toán học tiếng Việt đúng và tự nhiên; mỗi bước đều dễ  hiểu với học sinh tiểu học.    - 4 điểm: Nhìn chung rõ ràng, chỉ có vài chỗ diễn đạt  hơi lủng củng nhưng vẫn dễ hiểu; thuật ngữ dùng đúng hầu  hết.      - 3 điểm: Giải thích hiểu được nhưng câu văn đôi khi  rối, thiếu chủ ngữ/vị ngữ rõ ràng, hoặc thuật ngữ chưa chuẩn;  học sinh vẫn hiểu được nếu đọ</t>
        </is>
      </c>
      <c r="F79">
        <f>HYPERLINK("https://scholar.google.com/scholar?q=Kh%E1%BA%A3+n%C4%83ng+di%E1%BB%85n+gi%E1%BA%A3i+%28Explanation%29%3A+Kh%E1%BA%A3+n%C4%83ng+gi%E1%BA%A3i++th%C3%ADch+r%C3%B5+r%C3%A0ng+b%E1%BA%B1ng+ti%E1%BA%BFng+Vi%E1%BB%87t.+++++-+5+%C4%91i%E1%BB%83m%3A+Di%E1%BB%85n+%C4%91%E1%BA%A1t+r%E1%BA%A5t+r%C3%B5+r%C3%A0ng%2C+m%E1%BA%A1ch","search")</f>
        <v/>
      </c>
      <c r="G79" s="3" t="n"/>
      <c r="H79" s="3" t="n"/>
      <c r="I79" s="3" t="n"/>
      <c r="J79" s="3" t="n"/>
      <c r="K79" t="inlineStr">
        <is>
          <t>NO</t>
        </is>
      </c>
      <c r="L79" s="3" t="n"/>
    </row>
    <row r="80" ht="42" customHeight="1">
      <c r="A80" t="inlineStr">
        <is>
          <t>F079</t>
        </is>
      </c>
      <c r="B80" t="inlineStr">
        <is>
          <t>2025</t>
        </is>
      </c>
      <c r="C80" t="inlineStr">
        <is>
          <t>Arxiv_CS_2025</t>
        </is>
      </c>
      <c r="D80" t="inlineStr">
        <is>
          <t>2501.18128v1.pdf</t>
        </is>
      </c>
      <c r="E80" s="2" t="inlineStr">
        <is>
          <t>H. P. Luhn, ”The Automatic Creation of Literature Abstracts,” IBM Jour- nal of Research and Development, vol. 2, Apr. 1958. https://doi. org/10.1147/rd.22.0159</t>
        </is>
      </c>
      <c r="F80">
        <f>HYPERLINK("https://scholar.google.com/scholar?q=H.+P.+Luhn%2C+%E2%80%9DThe+Automatic+Creation+of+Literature+Abstracts%2C%E2%80%9D+IBM+Jour-+nal+of+Research+and+Development%2C+vol.+2%2C+Apr.+19","search")</f>
        <v/>
      </c>
      <c r="G80" s="3" t="n"/>
      <c r="H80" s="3" t="n"/>
      <c r="I80" s="3" t="n"/>
      <c r="J80" s="3" t="n"/>
      <c r="K80" t="inlineStr">
        <is>
          <t>NO</t>
        </is>
      </c>
      <c r="L80" s="3" t="n"/>
    </row>
    <row r="81" ht="42" customHeight="1">
      <c r="A81" t="inlineStr">
        <is>
          <t>F080</t>
        </is>
      </c>
      <c r="B81" t="inlineStr">
        <is>
          <t>2025</t>
        </is>
      </c>
      <c r="C81" t="inlineStr">
        <is>
          <t>Arxiv_CS_2025</t>
        </is>
      </c>
      <c r="D81" t="inlineStr">
        <is>
          <t>2501.17174v1.pdf</t>
        </is>
      </c>
      <c r="E81" s="2" t="inlineStr">
        <is>
          <t>Srinivasan Iyer, Ioannis Konstas, Alvin Cheung, Jayant Krishnamurthy, and Luke Zettlemoyer. 2017. Learn- ing a neural semantic parser from user feedback. In Proceedings of the 55th Annual Meeting of the As- sociation for Computational Linguistics (Volume 1: Long Papers), pages 963–973, Vancouver, Canada. Association for Computational Linguistics. Wenqiang Lei, Weixin Wang, Zhixin Ma, Tian Gan, Wei Lu, Min-Yen Kan, and Tat-Seng Chua. 2020a. Re-examining the role of schema linking in text-to- SQL.</t>
        </is>
      </c>
      <c r="F81">
        <f>HYPERLINK("https://scholar.google.com/scholar?q=Srinivasan+Iyer%2C+Ioannis+Konstas%2C+Alvin+Cheung%2C+Jayant+Krishnamurthy%2C+and+Luke+Zettlemoyer.+2017.+Learn-+ing+a+neural+se","search")</f>
        <v/>
      </c>
      <c r="G81" s="3" t="n"/>
      <c r="H81" s="3" t="n"/>
      <c r="I81" s="3" t="n"/>
      <c r="J81" s="3" t="n"/>
      <c r="K81" t="inlineStr">
        <is>
          <t>NO</t>
        </is>
      </c>
      <c r="L81" s="3" t="n"/>
    </row>
    <row r="82" ht="42" customHeight="1">
      <c r="A82" t="inlineStr">
        <is>
          <t>F081</t>
        </is>
      </c>
      <c r="B82" t="inlineStr">
        <is>
          <t>2025</t>
        </is>
      </c>
      <c r="C82" t="inlineStr">
        <is>
          <t>Arxiv_CS_2025</t>
        </is>
      </c>
      <c r="D82" t="inlineStr">
        <is>
          <t>2501.04299v1.pdf</t>
        </is>
      </c>
      <c r="E82" s="2" t="inlineStr">
        <is>
          <t>[AB09] Sanjeev Arora and Boaz Barak. Computational complexity: a modern approach. Cambridge University Press, 2009. [AKH+24] Reza Azad, Amirhossein Kazerouni, Moein Heidari, Ehsan Khodapanah Aghdam, Amirali Molaei, Yiwei Jia, Abin Jose, Rijo Roy, and Dorit Merhof. Advances in medical image analysis with vision transformers: a comprehensive review. Medical Image Analysis, 91:103000, 2024. [AWT+24] Tej D Azad, Anmol Warman, Jovanna A Tracz, Liam P Hughes, Brendan F Judy, and Timothy F Witham. Augm</t>
        </is>
      </c>
      <c r="F82">
        <f>HYPERLINK("https://scholar.google.com/scholar?q=%5BAB09%5D+Sanjeev+Arora+and+Boaz+Barak.+Computational+complexity%3A+a+modern+approach.+Cambridge+University+Press%2C+2009.+%5BAKH","search")</f>
        <v/>
      </c>
      <c r="G82" s="3" t="n"/>
      <c r="H82" s="3" t="n"/>
      <c r="I82" s="3" t="n"/>
      <c r="J82" s="3" t="n"/>
      <c r="K82" t="inlineStr">
        <is>
          <t>NO</t>
        </is>
      </c>
      <c r="L82" s="3" t="n"/>
    </row>
    <row r="83" ht="42" customHeight="1">
      <c r="A83" t="inlineStr">
        <is>
          <t>F082</t>
        </is>
      </c>
      <c r="B83" t="inlineStr">
        <is>
          <t>2016</t>
        </is>
      </c>
      <c r="C83" t="inlineStr">
        <is>
          <t>NeurIPS_2016</t>
        </is>
      </c>
      <c r="D83" t="inlineStr">
        <is>
          <t>2823f4797102ce1a1aec05359cc16dd9-Paper.pdf</t>
        </is>
      </c>
      <c r="E83" s="2" t="inlineStr">
        <is>
          <t>Babak Hassibi and David G. Stork. Second order derivatives for network pruning: Optimal brain surgeon. In NIPS, 1993.</t>
        </is>
      </c>
      <c r="F83">
        <f>HYPERLINK("https://scholar.google.com/scholar?q=Babak+Hassibi+and+David+G.+Stork.+Second+order+derivatives+for+network+pruning%3A+Optimal+brain+surgeon.+In+NIPS%2C+1993.","search")</f>
        <v/>
      </c>
      <c r="G83" s="3" t="n"/>
      <c r="H83" s="3" t="n"/>
      <c r="I83" s="3" t="n"/>
      <c r="J83" s="3" t="n"/>
      <c r="K83" t="inlineStr">
        <is>
          <t>YES</t>
        </is>
      </c>
      <c r="L83" s="3" t="n"/>
    </row>
    <row r="84" ht="42" customHeight="1">
      <c r="A84" t="inlineStr">
        <is>
          <t>F083</t>
        </is>
      </c>
      <c r="B84" t="inlineStr">
        <is>
          <t>2023</t>
        </is>
      </c>
      <c r="C84" t="inlineStr">
        <is>
          <t>NeurIPS_2023</t>
        </is>
      </c>
      <c r="D84" t="inlineStr">
        <is>
          <t>098491b37deebbe6c007e69815729e09-Paper-Conference.pdf</t>
        </is>
      </c>
      <c r="E84" s="2" t="inlineStr">
        <is>
          <t>Ning Xu, Linjie Yang, Yuchen Fan, Dingcheng Yue, Yuchen Liang, Jianchao Yang, and Thomas Huang. YouTube-VOS: A Large-Scale Video Object Segmentation Benchmark. arXiv, 2018. 4</t>
        </is>
      </c>
      <c r="F84">
        <f>HYPERLINK("https://scholar.google.com/scholar?q=Ning+Xu%2C+Linjie+Yang%2C+Yuchen+Fan%2C+Dingcheng+Yue%2C+Yuchen+Liang%2C+Jianchao+Yang%2C+and+Thomas+Huang.+YouTube-VOS%3A+A+Large-Sca","search")</f>
        <v/>
      </c>
      <c r="G84" s="3" t="n"/>
      <c r="H84" s="3" t="n"/>
      <c r="I84" s="3" t="n"/>
      <c r="J84" s="3" t="n"/>
      <c r="K84" t="inlineStr">
        <is>
          <t>NO</t>
        </is>
      </c>
      <c r="L84" s="3" t="n"/>
    </row>
    <row r="85" ht="42" customHeight="1">
      <c r="A85" t="inlineStr">
        <is>
          <t>F084</t>
        </is>
      </c>
      <c r="B85" t="inlineStr">
        <is>
          <t>2025</t>
        </is>
      </c>
      <c r="C85" t="inlineStr">
        <is>
          <t>Arxiv_CS_2025</t>
        </is>
      </c>
      <c r="D85" t="inlineStr">
        <is>
          <t>2501.13946v1.pdf</t>
        </is>
      </c>
      <c r="E85" s="2" t="inlineStr">
        <is>
          <t>Dorrit Cohn. Signposts of fictionality: A narratological perspective. Poetics Today, 11:775, 1990.</t>
        </is>
      </c>
      <c r="F85">
        <f>HYPERLINK("https://scholar.google.com/scholar?q=Dorrit+Cohn.+Signposts+of+fictionality%3A+A+narratological+perspective.+Poetics+Today%2C+11%3A775%2C+1990.","search")</f>
        <v/>
      </c>
      <c r="G85" s="3" t="n"/>
      <c r="H85" s="3" t="n"/>
      <c r="I85" s="3" t="n"/>
      <c r="J85" s="3" t="n"/>
      <c r="K85" t="inlineStr">
        <is>
          <t>NO</t>
        </is>
      </c>
      <c r="L85" s="3" t="n"/>
    </row>
    <row r="86" ht="42" customHeight="1">
      <c r="A86" t="inlineStr">
        <is>
          <t>F085</t>
        </is>
      </c>
      <c r="B86" t="inlineStr">
        <is>
          <t>2016</t>
        </is>
      </c>
      <c r="C86" t="inlineStr">
        <is>
          <t>NeurIPS_2016</t>
        </is>
      </c>
      <c r="D86" t="inlineStr">
        <is>
          <t>2823f4797102ce1a1aec05359cc16dd9-Paper.pdf</t>
        </is>
      </c>
      <c r="E86" s="2" t="inlineStr">
        <is>
          <t>Kaiming He, Xiangyu Zhang, Shaoqing Ren, and Jian Sun. Deep residual learning for image recognition. In CVPR, 2016.</t>
        </is>
      </c>
      <c r="F86">
        <f>HYPERLINK("https://scholar.google.com/scholar?q=Kaiming+He%2C+Xiangyu+Zhang%2C+Shaoqing+Ren%2C+and+Jian+Sun.+Deep+residual+learning+for+image+recognition.+In+CVPR%2C+2016.","search")</f>
        <v/>
      </c>
      <c r="G86" s="3" t="n"/>
      <c r="H86" s="3" t="n"/>
      <c r="I86" s="3" t="n"/>
      <c r="J86" s="3" t="n"/>
      <c r="K86" t="inlineStr">
        <is>
          <t>NO</t>
        </is>
      </c>
      <c r="L86" s="3" t="n"/>
    </row>
    <row r="87" ht="42" customHeight="1">
      <c r="A87" t="inlineStr">
        <is>
          <t>F086</t>
        </is>
      </c>
      <c r="B87" t="inlineStr">
        <is>
          <t>2026</t>
        </is>
      </c>
      <c r="C87" t="inlineStr">
        <is>
          <t>Arxiv_General_Latest</t>
        </is>
      </c>
      <c r="D87" t="inlineStr">
        <is>
          <t>2603.06424v1.pdf</t>
        </is>
      </c>
      <c r="E87" s="2" t="inlineStr">
        <is>
          <t>A new dataset and method for automatically grading esol texts. In Proceedings of the 49th annual meeting of the association for computational linguis- tics: human language technologies, pages 180–189. Olaf Zawacki-Richter, Victoria I Marín, Melissa Bond, and Franziska Gouverneur. 2019. Systematic review of research on artificial intelligence applications in higher education–where are the educators? Interna- tional journal of educational technology in higher education, 16(1):1–27.  Appendix A Pro</t>
        </is>
      </c>
      <c r="F87">
        <f>HYPERLINK("https://scholar.google.com/scholar?q=A+new+dataset+and+method+for+automatically+grading+esol+texts.+In+Proceedings+of+the+49th+annual+meeting+of+the+associat","search")</f>
        <v/>
      </c>
      <c r="G87" s="3" t="n"/>
      <c r="H87" s="3" t="n"/>
      <c r="I87" s="3" t="n"/>
      <c r="J87" s="3" t="n"/>
      <c r="K87" t="inlineStr">
        <is>
          <t>NO</t>
        </is>
      </c>
      <c r="L87" s="3" t="n"/>
    </row>
    <row r="88" ht="42" customHeight="1">
      <c r="A88" t="inlineStr">
        <is>
          <t>F087</t>
        </is>
      </c>
      <c r="B88" t="inlineStr">
        <is>
          <t>2023</t>
        </is>
      </c>
      <c r="C88" t="inlineStr">
        <is>
          <t>Arxiv_Bio_2023</t>
        </is>
      </c>
      <c r="D88" t="inlineStr">
        <is>
          <t>2301.00483v1.pdf</t>
        </is>
      </c>
      <c r="E88" s="2" t="inlineStr">
        <is>
          <t xml:space="preserve">Ball GH, Hall DJ (1965) ISODATA, a novel method of data analysis and pattern classifica- tion. Menlo Park. Stanford Research Institute  Bapteste E, Boucher Y, Leigh J et al (2004) Phylogenetic reconstruction and lateral gene  transfer. Trends Microbiol 12(9):406-411  Barthélemy JP, Guénoche A (1991) Trees and proximity representations. Chichester: J.  Wiley  Barthélemy JP, McMorris FR (1986). The median procedure for n-trees. J Classif 3(2):329- 334  Barthélemy JP, Monjardet B (1981) The median </t>
        </is>
      </c>
      <c r="F88">
        <f>HYPERLINK("https://scholar.google.com/scholar?q=Ball+GH%2C+Hall+DJ+%281965%29+ISODATA%2C+a+novel+method+of+data+analysis+and+pattern+classifica-+tion.+Menlo+Park.+Stanford+Rese","search")</f>
        <v/>
      </c>
      <c r="G88" s="3" t="n"/>
      <c r="H88" s="3" t="n"/>
      <c r="I88" s="3" t="n"/>
      <c r="J88" s="3" t="n"/>
      <c r="K88" t="inlineStr">
        <is>
          <t>NO</t>
        </is>
      </c>
      <c r="L88" s="3" t="n"/>
    </row>
    <row r="89" ht="42" customHeight="1">
      <c r="A89" t="inlineStr">
        <is>
          <t>F088</t>
        </is>
      </c>
      <c r="B89" t="inlineStr">
        <is>
          <t>2025</t>
        </is>
      </c>
      <c r="C89" t="inlineStr">
        <is>
          <t>Arxiv_CS_2025</t>
        </is>
      </c>
      <c r="D89" t="inlineStr">
        <is>
          <t>2501.15648v1.pdf</t>
        </is>
      </c>
      <c r="E89" s="2" t="inlineStr">
        <is>
          <t>Kaiyue Shen, Chen Guo, Manuel Kaufmann, Juan Jose Zarate, Julien Valentin, Jie Song, and Otmar Hilliges. X- avatar: Expressive human avatars. In Proceedings of the IEEE/CVF Conference on Computer Vision and Pattern Recognition, pages 16911–16921, 2023. 4</t>
        </is>
      </c>
      <c r="F89">
        <f>HYPERLINK("https://scholar.google.com/scholar?q=Kaiyue+Shen%2C+Chen+Guo%2C+Manuel+Kaufmann%2C+Juan+Jose+Zarate%2C+Julien+Valentin%2C+Jie+Song%2C+and+Otmar+Hilliges.+X-+avatar%3A+Expr","search")</f>
        <v/>
      </c>
      <c r="G89" s="3" t="n"/>
      <c r="H89" s="3" t="n"/>
      <c r="I89" s="3" t="n"/>
      <c r="J89" s="3" t="n"/>
      <c r="K89" t="inlineStr">
        <is>
          <t>NO</t>
        </is>
      </c>
      <c r="L89" s="3" t="n"/>
    </row>
    <row r="90" ht="42" customHeight="1">
      <c r="A90" t="inlineStr">
        <is>
          <t>F089</t>
        </is>
      </c>
      <c r="B90" t="inlineStr">
        <is>
          <t>2023</t>
        </is>
      </c>
      <c r="C90" t="inlineStr">
        <is>
          <t>NeurIPS_2023</t>
        </is>
      </c>
      <c r="D90" t="inlineStr">
        <is>
          <t>043f0503c4f652c737add3690aa5d12c-Paper-Conference.pdf</t>
        </is>
      </c>
      <c r="E90" s="2" t="inlineStr">
        <is>
          <t>Jascha Sohl-Dickstein Laurent Dinh and Samy Bengio. Density estimation using real nvp. ICLR, 2017.</t>
        </is>
      </c>
      <c r="F90">
        <f>HYPERLINK("https://scholar.google.com/scholar?q=Jascha+Sohl-Dickstein+Laurent+Dinh+and+Samy+Bengio.+Density+estimation+using+real+nvp.+ICLR%2C+2017.","search")</f>
        <v/>
      </c>
      <c r="G90" s="3" t="n"/>
      <c r="H90" s="3" t="n"/>
      <c r="I90" s="3" t="n"/>
      <c r="J90" s="3" t="n"/>
      <c r="K90" t="inlineStr">
        <is>
          <t>NO</t>
        </is>
      </c>
      <c r="L90" s="3" t="n"/>
    </row>
    <row r="91" ht="42" customHeight="1">
      <c r="A91" t="inlineStr">
        <is>
          <t>F090</t>
        </is>
      </c>
      <c r="B91" t="inlineStr">
        <is>
          <t>2023</t>
        </is>
      </c>
      <c r="C91" t="inlineStr">
        <is>
          <t>NeurIPS_2023</t>
        </is>
      </c>
      <c r="D91" t="inlineStr">
        <is>
          <t>034d7bfeace2a9a258648b16fc626298-Paper-Conference.pdf</t>
        </is>
      </c>
      <c r="E91" s="2" t="inlineStr">
        <is>
          <t>Michael Ahn, Anthony Brohan, Noah Brown, Yevgen Chebotar, Omar Cortes, Byron David, Chelsea Finn, Keerthana Gopalakrishnan, Karol Hausman, Alex Herzog, et al. Do as i can, not as i say: Grounding language in robotic affordances. arXiv preprint arXiv:2204.01691, 2022. Joshua Ainslie, Santiago Ontanon, Chris Alberti, Vaclav Cvicek, Zachary Fisher, Philip Pham, Anirudh Ravula, Sumit Sanghai, Qifan Wang, and Li Yang. Etc: Encoding long and structured inputs in transformers. arXiv preprint arXiv:2004</t>
        </is>
      </c>
      <c r="F91">
        <f>HYPERLINK("https://scholar.google.com/scholar?q=Michael+Ahn%2C+Anthony+Brohan%2C+Noah+Brown%2C+Yevgen+Chebotar%2C+Omar+Cortes%2C+Byron+David%2C+Chelsea+Finn%2C+Keerthana+Gopalakrishn","search")</f>
        <v/>
      </c>
      <c r="G91" s="3" t="n"/>
      <c r="H91" s="3" t="n"/>
      <c r="I91" s="3" t="n"/>
      <c r="J91" s="3" t="n"/>
      <c r="K91" t="inlineStr">
        <is>
          <t>NO</t>
        </is>
      </c>
      <c r="L91" s="3" t="n"/>
    </row>
    <row r="92" ht="42" customHeight="1">
      <c r="A92" t="inlineStr">
        <is>
          <t>F091</t>
        </is>
      </c>
      <c r="B92" t="inlineStr">
        <is>
          <t>2026</t>
        </is>
      </c>
      <c r="C92" t="inlineStr">
        <is>
          <t>Arxiv_General_Latest</t>
        </is>
      </c>
      <c r="D92" t="inlineStr">
        <is>
          <t>2604.12325v3.pdf</t>
        </is>
      </c>
      <c r="E92" s="2" t="inlineStr">
        <is>
          <t>If you used crowdsourcing or conducted research with human subjects, check if you include: (a) The full text of instructions given to partici- pants and screenshots. [Not Applicable] (b) Descriptions of potential participant risks, with links to Institutional Review Board (IRB) approvals if applicable. [Not Appli- cable] (c) The estimated hourly wage paid to partici- pants and the total amount spent on partic- ipant compensation. [Not Applicable]  Black-Box Optimization From Small Offline Datase</t>
        </is>
      </c>
      <c r="F92">
        <f>HYPERLINK("https://scholar.google.com/scholar?q=If+you+used+crowdsourcing+or+conducted+research+with+human+subjects%2C+check+if+you+include%3A+%28a%29+The+full+text+of+instruct","search")</f>
        <v/>
      </c>
      <c r="G92" s="3" t="n"/>
      <c r="H92" s="3" t="n"/>
      <c r="I92" s="3" t="n"/>
      <c r="J92" s="3" t="n"/>
      <c r="K92" t="inlineStr">
        <is>
          <t>YES</t>
        </is>
      </c>
      <c r="L92" s="3" t="n"/>
    </row>
    <row r="93" ht="42" customHeight="1">
      <c r="A93" t="inlineStr">
        <is>
          <t>F092</t>
        </is>
      </c>
      <c r="B93" t="inlineStr">
        <is>
          <t>2025</t>
        </is>
      </c>
      <c r="C93" t="inlineStr">
        <is>
          <t>Arxiv_CS_2025</t>
        </is>
      </c>
      <c r="D93" t="inlineStr">
        <is>
          <t>2501.16361v1.pdf</t>
        </is>
      </c>
      <c r="E93" s="2" t="inlineStr">
        <is>
          <t>Feng J, Liu H, Kong L, Chen Y, Zhang M. TAGLAS: An Atlas of Text-Attributed Graph  Datasets in the Era of Large Graph and Language Models.; 2024.  doi:10.48550/arXiv.2406.14683</t>
        </is>
      </c>
      <c r="F93">
        <f>HYPERLINK("https://scholar.google.com/scholar?q=Feng+J%2C+Liu+H%2C+Kong+L%2C+Chen+Y%2C+Zhang+M.+TAGLAS%3A+An+Atlas+of+Text-Attributed+Graph++Datasets+in+the+Era+of+Large+Graph+an","search")</f>
        <v/>
      </c>
      <c r="G93" s="3" t="n"/>
      <c r="H93" s="3" t="n"/>
      <c r="I93" s="3" t="n"/>
      <c r="J93" s="3" t="n"/>
      <c r="K93" t="inlineStr">
        <is>
          <t>NO</t>
        </is>
      </c>
      <c r="L93" s="3" t="n"/>
    </row>
    <row r="94" ht="42" customHeight="1">
      <c r="A94" t="inlineStr">
        <is>
          <t>F093</t>
        </is>
      </c>
      <c r="B94" t="inlineStr">
        <is>
          <t>2025</t>
        </is>
      </c>
      <c r="C94" t="inlineStr">
        <is>
          <t>Arxiv_CS_2025</t>
        </is>
      </c>
      <c r="D94" t="inlineStr">
        <is>
          <t>2501.17811v1.pdf</t>
        </is>
      </c>
      <c r="E94" s="2" t="inlineStr">
        <is>
          <t>D. Podell, Z. English, K. Lacey, A. Blattmann, T. Dockhorn, J. Müller, J. Penna, and R. Rom- bach. Sdxl: Improving latent diffusion models for high-resolution image synthesis. arXiv preprint arXiv:2307.01952, 2023.</t>
        </is>
      </c>
      <c r="F94">
        <f>HYPERLINK("https://scholar.google.com/scholar?q=D.+Podell%2C+Z.+English%2C+K.+Lacey%2C+A.+Blattmann%2C+T.+Dockhorn%2C+J.+M%C3%BCller%2C+J.+Penna%2C+and+R.+Rom-+bach.+Sdxl%3A+Improving+laten","search")</f>
        <v/>
      </c>
      <c r="G94" s="3" t="n"/>
      <c r="H94" s="3" t="n"/>
      <c r="I94" s="3" t="n"/>
      <c r="J94" s="3" t="n"/>
      <c r="K94" t="inlineStr">
        <is>
          <t>NO</t>
        </is>
      </c>
      <c r="L94" s="3" t="n"/>
    </row>
    <row r="95" ht="42" customHeight="1">
      <c r="A95" t="inlineStr">
        <is>
          <t>F094</t>
        </is>
      </c>
      <c r="B95" t="inlineStr">
        <is>
          <t>2016</t>
        </is>
      </c>
      <c r="C95" t="inlineStr">
        <is>
          <t>NeurIPS_2016</t>
        </is>
      </c>
      <c r="D95" t="inlineStr">
        <is>
          <t>07563a3fe3bbe7e3ba84431ad9d055af-Paper.pdf</t>
        </is>
      </c>
      <c r="E95" s="2" t="inlineStr">
        <is>
          <t>J. Dodge, A. Gane, X. Zhang, A. Bordes, S. Chopra, A. Miller, A. Szlam, and J. Weston. Evaluating prerequisite qualities for learning end-to-end dialog systems. arXiv preprint arXiv:1511.06931, 2015.</t>
        </is>
      </c>
      <c r="F95">
        <f>HYPERLINK("https://scholar.google.com/scholar?q=J.+Dodge%2C+A.+Gane%2C+X.+Zhang%2C+A.+Bordes%2C+S.+Chopra%2C+A.+Miller%2C+A.+Szlam%2C+and+J.+Weston.+Evaluating+prerequisite+qualities","search")</f>
        <v/>
      </c>
      <c r="G95" s="3" t="n"/>
      <c r="H95" s="3" t="n"/>
      <c r="I95" s="3" t="n"/>
      <c r="J95" s="3" t="n"/>
      <c r="K95" t="inlineStr">
        <is>
          <t>YES</t>
        </is>
      </c>
      <c r="L95" s="3" t="n"/>
    </row>
    <row r="96" ht="42" customHeight="1">
      <c r="A96" t="inlineStr">
        <is>
          <t>F095</t>
        </is>
      </c>
      <c r="B96" t="inlineStr">
        <is>
          <t>2026</t>
        </is>
      </c>
      <c r="C96" t="inlineStr">
        <is>
          <t>Arxiv_General_Latest</t>
        </is>
      </c>
      <c r="D96" t="inlineStr">
        <is>
          <t>2604.17794v1.pdf</t>
        </is>
      </c>
      <c r="E96" s="2" t="inlineStr">
        <is>
          <t>Tính đầy đủ (Completeness): Đánh giá việc giải quyết  tất cả các yêu cầu của bài toán.     - 5 điểm: Giải quyết đầy đủ tất cả yêu cầu của đề bài;  không bỏ sót câu hỏi phụ; có kết luận rõ ràng.     - 4 điểm: Hầu hết yêu cầu được giải quyết; có thể thiếu  một chi tiết nhỏ hoặc kết luận chưa thật rõ ràng nhưng không  làm mất ý chính.          - 3 điểm: Đã giải quyết được yêu cầu chính (ví dụ: tìm  được đại lượng cần tính) nhưng bỏ qua một số yêu cầu phụ  hoặc không nêu rõ kết luận.    - 2 điểm: Gi</t>
        </is>
      </c>
      <c r="F96">
        <f>HYPERLINK("https://scholar.google.com/scholar?q=T%C3%ADnh+%C4%91%E1%BA%A7y+%C4%91%E1%BB%A7+%28Completeness%29%3A+%C4%90%C3%A1nh+gi%C3%A1+vi%E1%BB%87c+gi%E1%BA%A3i+quy%E1%BA%BFt++t%E1%BA%A5t+c%E1%BA%A3+c%C3%A1c+y%C3%AAu+c%E1%BA%A7u+c%E1%BB%A7a+b%C3%A0i+to%C3%A1n.+++++-+5+%C4%91i%E1%BB%83m%3A+Gi%E1%BA%A3i+quy%E1%BA%BFt+%C4%91%E1%BA%A7y+%C4%91%E1%BB%A7+t","search")</f>
        <v/>
      </c>
      <c r="G96" s="3" t="n"/>
      <c r="H96" s="3" t="n"/>
      <c r="I96" s="3" t="n"/>
      <c r="J96" s="3" t="n"/>
      <c r="K96" t="inlineStr">
        <is>
          <t>NO</t>
        </is>
      </c>
      <c r="L96" s="3" t="n"/>
    </row>
    <row r="97" ht="42" customHeight="1">
      <c r="A97" t="inlineStr">
        <is>
          <t>F096</t>
        </is>
      </c>
      <c r="B97" t="inlineStr">
        <is>
          <t>2023</t>
        </is>
      </c>
      <c r="C97" t="inlineStr">
        <is>
          <t>Arxiv_CS_2023</t>
        </is>
      </c>
      <c r="D97" t="inlineStr">
        <is>
          <t>2312.14438v1.pdf</t>
        </is>
      </c>
      <c r="E97" s="2" t="inlineStr">
        <is>
          <t>A new perspective on the effects of spectrum in graph neural networks. In International Conference on Machine Learning, 25261–25279. PMLR. Yang, Y.; Liu, T.; Wang, Y.; Zhou, J.; Gan, Q.; Wei, Z.; Zhang, Z.; Huang, Z.; and Wipf, D. 2021. Graph neural networks inspired by classical iterative algorithms. In Inter- national Conference on Machine Learning, 11773–11783. PMLR. Yang, Z.; Cohen, W.; and Salakhudinov, R. 2016. Revisiting semi-supervised learning with graph embeddings. In Inter- national C</t>
        </is>
      </c>
      <c r="F97">
        <f>HYPERLINK("https://scholar.google.com/scholar?q=A+new+perspective+on+the+effects+of+spectrum+in+graph+neural+networks.+In+International+Conference+on+Machine+Learning%2C+","search")</f>
        <v/>
      </c>
      <c r="G97" s="3" t="n"/>
      <c r="H97" s="3" t="n"/>
      <c r="I97" s="3" t="n"/>
      <c r="J97" s="3" t="n"/>
      <c r="K97" t="inlineStr">
        <is>
          <t>NO</t>
        </is>
      </c>
      <c r="L97" s="3" t="n"/>
    </row>
    <row r="98" ht="42" customHeight="1">
      <c r="A98" t="inlineStr">
        <is>
          <t>F097</t>
        </is>
      </c>
      <c r="B98" t="inlineStr">
        <is>
          <t>2023</t>
        </is>
      </c>
      <c r="C98" t="inlineStr">
        <is>
          <t>Arxiv_CS_2023</t>
        </is>
      </c>
      <c r="D98" t="inlineStr">
        <is>
          <t>2310.10780v2.pdf</t>
        </is>
      </c>
      <c r="E98" s="2" t="inlineStr">
        <is>
          <t>Kang Liu, Brendan Dolan-Gavitt, and Siddharth Garg. Fine-pruning: Defending against backdooring attacks on deep neural networks. In Research in Attacks, Intrusions, and Defenses: 21st International Symposium, RAID 2018, Heraklion, Crete, Greece, September 10-12, 2018, Proceedings 21, pp. 273–294. Springer, 2018. Yingqi Liu, Shiqing Ma, Yousra Aafer, Wen-Chuan Lee, Juan Zhai, Weihang Wang, and Xiangyu Zhang. Trojaning attack on neural networks. 2017. Naren Manoj and Avrim Blum. Excess capacity an</t>
        </is>
      </c>
      <c r="F98">
        <f>HYPERLINK("https://scholar.google.com/scholar?q=Kang+Liu%2C+Brendan+Dolan-Gavitt%2C+and+Siddharth+Garg.+Fine-pruning%3A+Defending+against+backdooring+attacks+on+deep+neural+n","search")</f>
        <v/>
      </c>
      <c r="G98" s="3" t="n"/>
      <c r="H98" s="3" t="n"/>
      <c r="I98" s="3" t="n"/>
      <c r="J98" s="3" t="n"/>
      <c r="K98" t="inlineStr">
        <is>
          <t>NO</t>
        </is>
      </c>
      <c r="L98" s="3" t="n"/>
    </row>
    <row r="99" ht="42" customHeight="1">
      <c r="A99" t="inlineStr">
        <is>
          <t>F098</t>
        </is>
      </c>
      <c r="B99" t="inlineStr">
        <is>
          <t>2025</t>
        </is>
      </c>
      <c r="C99" t="inlineStr">
        <is>
          <t>Arxiv_CS_2025</t>
        </is>
      </c>
      <c r="D99" t="inlineStr">
        <is>
          <t>2503.19602v1.pdf</t>
        </is>
      </c>
      <c r="E99" s="2" t="inlineStr">
        <is>
          <t>Calculating the total number of sprints per week 2. Calculating the total distance run Now analyze the following solution: Solution to analyze: &lt;RLLMs’ response content&gt; Provide only a JSON object with the following format: {{“num_steps”: &lt;number of distinct thinking steps&gt;}} 14  Preprint. Under review. Number of reflection We quantify the frequency of reflective keywords within the thinking parts of RLLMs’ responses. The reflective keywords contain: “wait”, “Let me think”, “I need to reconsider</t>
        </is>
      </c>
      <c r="F99">
        <f>HYPERLINK("https://scholar.google.com/scholar?q=Calculating+the+total+number+of+sprints+per+week+2.+Calculating+the+total+distance+run+Now+analyze+the+following+solutio","search")</f>
        <v/>
      </c>
      <c r="G99" s="3" t="n"/>
      <c r="H99" s="3" t="n"/>
      <c r="I99" s="3" t="n"/>
      <c r="J99" s="3" t="n"/>
      <c r="K99" t="inlineStr">
        <is>
          <t>NO</t>
        </is>
      </c>
      <c r="L99" s="3" t="n"/>
    </row>
    <row r="100" ht="42" customHeight="1">
      <c r="A100" t="inlineStr">
        <is>
          <t>F099</t>
        </is>
      </c>
      <c r="B100" t="inlineStr">
        <is>
          <t>2023</t>
        </is>
      </c>
      <c r="C100" t="inlineStr">
        <is>
          <t>NeurIPS_2023</t>
        </is>
      </c>
      <c r="D100" t="inlineStr">
        <is>
          <t>098491b37deebbe6c007e69815729e09-Paper-Conference.pdf</t>
        </is>
      </c>
      <c r="E100" s="2" t="inlineStr">
        <is>
          <t>Xiao Wang, Xiujun Shu, Zhipeng Zhang, Bo Jiang, Yaowei Wang, Yonghong Tian, and Feng Wu. To- wards more flexible and accurate object tracking with natural language: Algorithms and benchmark. In Proceedings of the IEEE/CVF Conference on Computer Vision and Pattern Recognition (CVPR), pages 13763–13773, June 2021. 2, 3</t>
        </is>
      </c>
      <c r="F100">
        <f>HYPERLINK("https://scholar.google.com/scholar?q=Xiao+Wang%2C+Xiujun+Shu%2C+Zhipeng+Zhang%2C+Bo+Jiang%2C+Yaowei+Wang%2C+Yonghong+Tian%2C+and+Feng+Wu.+To-+wards+more+flexible+and+acc","search")</f>
        <v/>
      </c>
      <c r="G100" s="3" t="n"/>
      <c r="H100" s="3" t="n"/>
      <c r="I100" s="3" t="n"/>
      <c r="J100" s="3" t="n"/>
      <c r="K100" t="inlineStr">
        <is>
          <t>NO</t>
        </is>
      </c>
      <c r="L100" s="3" t="n"/>
    </row>
    <row r="101" ht="42" customHeight="1">
      <c r="A101" t="inlineStr">
        <is>
          <t>F100</t>
        </is>
      </c>
      <c r="B101" t="inlineStr">
        <is>
          <t>2026</t>
        </is>
      </c>
      <c r="C101" t="inlineStr">
        <is>
          <t>Arxiv_General_Latest</t>
        </is>
      </c>
      <c r="D101" t="inlineStr">
        <is>
          <t>2605.13966v1.pdf</t>
        </is>
      </c>
      <c r="E101" s="2" t="inlineStr">
        <is>
          <t>Akins, H. B., Casey, C. M., Lambrides, E., et al. 2025, ApJ, 991, 37, doi: 10.3847/1538-4357/ade984 Anders, E., &amp; Grevesse, N. 1989, GeoCoA, 53, 197, doi: 10.1016/0016-7037(89)90286-X Arrabal Haro, P., Dickinson, M., Finkelstein, S. L., et al. 2023a, ApJL, 951, L22, doi: 10.3847/2041-8213/acdd54 Arrabal Haro, P., Dickinson, M., Finkelstein, S. L., et al. 2023b, Nature, 622, 707, doi: 10.1038/s41586-023-06521-7 Asano, R. S., Takeuchi, T. T., Hirashita, H., &amp; Nozawa, T. 2013, MNRAS, 432, 637, doi:</t>
        </is>
      </c>
      <c r="F101">
        <f>HYPERLINK("https://scholar.google.com/scholar?q=Akins%2C+H.+B.%2C+Casey%2C+C.+M.%2C+Lambrides%2C+E.%2C+et+al.+2025%2C+ApJ%2C+991%2C+37%2C+doi%3A+10.3847%2F1538-4357%2Fade984+Anders%2C+E.%2C+%26+Greves","search")</f>
        <v/>
      </c>
      <c r="G101" s="3" t="n"/>
      <c r="H101" s="3" t="n"/>
      <c r="I101" s="3" t="n"/>
      <c r="J101" s="3" t="n"/>
      <c r="K101" t="inlineStr">
        <is>
          <t>NO</t>
        </is>
      </c>
      <c r="L101" s="3" t="n"/>
    </row>
    <row r="102" ht="42" customHeight="1">
      <c r="A102" t="inlineStr">
        <is>
          <t>F101</t>
        </is>
      </c>
      <c r="B102" t="inlineStr">
        <is>
          <t>2016</t>
        </is>
      </c>
      <c r="C102" t="inlineStr">
        <is>
          <t>NeurIPS_2016</t>
        </is>
      </c>
      <c r="D102" t="inlineStr">
        <is>
          <t>0a0a0c8aaa00ade50f74a3f0ca981ed7-Paper.pdf</t>
        </is>
      </c>
      <c r="E102" s="2" t="inlineStr">
        <is>
          <t>M. Sugiyama, F. Llinares López, N. Kasenburg, and K. M. Borgwardt. Mining signiﬁcant subgraphs with multiple testing correction. In SIAM Data Mining (SDM), 2015.</t>
        </is>
      </c>
      <c r="F102">
        <f>HYPERLINK("https://scholar.google.com/scholar?q=M.+Sugiyama%2C+F.+Llinares+L%C3%B3pez%2C+N.+Kasenburg%2C+and+K.+M.+Borgwardt.+Mining+signi%EF%AC%81cant+subgraphs+with+multiple+testing+cor","search")</f>
        <v/>
      </c>
      <c r="G102" s="3" t="n"/>
      <c r="H102" s="3" t="n"/>
      <c r="I102" s="3" t="n"/>
      <c r="J102" s="3" t="n"/>
      <c r="K102" t="inlineStr">
        <is>
          <t>NO</t>
        </is>
      </c>
      <c r="L102" s="3" t="n"/>
    </row>
    <row r="103" ht="42" customHeight="1">
      <c r="A103" t="inlineStr">
        <is>
          <t>F102</t>
        </is>
      </c>
      <c r="B103" t="inlineStr">
        <is>
          <t>2016</t>
        </is>
      </c>
      <c r="C103" t="inlineStr">
        <is>
          <t>Arxiv_Bio_2016</t>
        </is>
      </c>
      <c r="D103" t="inlineStr">
        <is>
          <t>1601.01704v2.pdf</t>
        </is>
      </c>
      <c r="E103" s="2" t="inlineStr">
        <is>
          <t>Achard S, Salvador R, Whitcher B, Suckling J, Bull- more E (2006) A resilient, low-frequency, small- world human brain functional network with highly connected association cortical hubs. Journal of Neuroscience, 26(1):63–72 Arai M, Brandt V, Dabaghian Y (2014) The eﬀects of theta precession on spatial learning and simpli- cial complex dynamics in a topological model of the hippocampal spatial map. PLoS Computational Bi- ology, 10(6) Bassett DS, Bullmore ET (2006) Small-world brain networks. Neur</t>
        </is>
      </c>
      <c r="F103">
        <f>HYPERLINK("https://scholar.google.com/scholar?q=Achard+S%2C+Salvador+R%2C+Whitcher+B%2C+Suckling+J%2C+Bull-+more+E+%282006%29+A+resilient%2C+low-frequency%2C+small-+world+human+brain+f","search")</f>
        <v/>
      </c>
      <c r="G103" s="3" t="n"/>
      <c r="H103" s="3" t="n"/>
      <c r="I103" s="3" t="n"/>
      <c r="J103" s="3" t="n"/>
      <c r="K103" t="inlineStr">
        <is>
          <t>NO</t>
        </is>
      </c>
      <c r="L103" s="3" t="n"/>
    </row>
    <row r="104" ht="42" customHeight="1">
      <c r="A104" t="inlineStr">
        <is>
          <t>F103</t>
        </is>
      </c>
      <c r="B104" t="inlineStr">
        <is>
          <t>2023</t>
        </is>
      </c>
      <c r="C104" t="inlineStr">
        <is>
          <t>NeurIPS_2023</t>
        </is>
      </c>
      <c r="D104" t="inlineStr">
        <is>
          <t>05e552739c2629f3324c1063a382b4bd-Paper-Conference.pdf</t>
        </is>
      </c>
      <c r="E104" s="2" t="inlineStr">
        <is>
          <t>Ming Liu, Stella Ho, Mengqi Wang, Longxiang Gao, Yuan Jin, and He Zhang. Federated learning meets natural language processing: A survey. arXiv preprint arXiv:2107.12603, 2021.</t>
        </is>
      </c>
      <c r="F104">
        <f>HYPERLINK("https://scholar.google.com/scholar?q=Ming+Liu%2C+Stella+Ho%2C+Mengqi+Wang%2C+Longxiang+Gao%2C+Yuan+Jin%2C+and+He+Zhang.+Federated+learning+meets+natural+language+proce","search")</f>
        <v/>
      </c>
      <c r="G104" s="3" t="n"/>
      <c r="H104" s="3" t="n"/>
      <c r="I104" s="3" t="n"/>
      <c r="J104" s="3" t="n"/>
      <c r="K104" t="inlineStr">
        <is>
          <t>NO</t>
        </is>
      </c>
      <c r="L104" s="3" t="n"/>
    </row>
    <row r="105" ht="42" customHeight="1">
      <c r="A105" t="inlineStr">
        <is>
          <t>F104</t>
        </is>
      </c>
      <c r="B105" t="inlineStr">
        <is>
          <t>2016</t>
        </is>
      </c>
      <c r="C105" t="inlineStr">
        <is>
          <t>NeurIPS_2016</t>
        </is>
      </c>
      <c r="D105" t="inlineStr">
        <is>
          <t>0a0a0c8aaa00ade50f74a3f0ca981ed7-Paper.pdf</t>
        </is>
      </c>
      <c r="E105" s="2" t="inlineStr">
        <is>
          <t>F. Llinares-López, D. Grimm, D. A. Bodenham, U. Gieraths, M. Sugiyama, B. Rowan, and K. M. Borgwardt. Genome-wide detection of intervals of genetic heterogeneity associated with complex traits. Bioinformatics, 31(12):240–249, 2015.</t>
        </is>
      </c>
      <c r="F105">
        <f>HYPERLINK("https://scholar.google.com/scholar?q=F.+Llinares-L%C3%B3pez%2C+D.+Grimm%2C+D.+A.+Bodenham%2C+U.+Gieraths%2C+M.+Sugiyama%2C+B.+Rowan%2C+and+K.+M.+Borgwardt.+Genome-wide+detect","search")</f>
        <v/>
      </c>
      <c r="G105" s="3" t="n"/>
      <c r="H105" s="3" t="n"/>
      <c r="I105" s="3" t="n"/>
      <c r="J105" s="3" t="n"/>
      <c r="K105" t="inlineStr">
        <is>
          <t>NO</t>
        </is>
      </c>
      <c r="L105" s="3" t="n"/>
    </row>
    <row r="106" ht="42" customHeight="1">
      <c r="A106" t="inlineStr">
        <is>
          <t>F105</t>
        </is>
      </c>
      <c r="B106" t="inlineStr">
        <is>
          <t>2025</t>
        </is>
      </c>
      <c r="C106" t="inlineStr">
        <is>
          <t>Arxiv_CS_2025</t>
        </is>
      </c>
      <c r="D106" t="inlineStr">
        <is>
          <t>2502.01772v1.pdf</t>
        </is>
      </c>
      <c r="E106" s="2" t="inlineStr">
        <is>
          <t>Fetzer, T., Lambert, P., Feld, B., &amp; Garg, P. (2024). Ai-generated production networks: Mea- surement and applications to global trade (Tech. Rep.). ECONtribute Discussion Paper. Garg, P., &amp; Fetzer, T. (2024). Causal claims in economics. Working Paper. Retrieved from https://drive.google.com/file/d/1KC9wD-AU 359XGbBH1Eno1PfiC5xf0EQ/ view?usp=drive link Groves, P. M., &amp; Thompson, R. F. (1970). Habituation: a dual-process theory. Psycholog- ical review, 77(5), 419. Rankin, C. H., Abrams, T., Barry</t>
        </is>
      </c>
      <c r="F106">
        <f>HYPERLINK("https://scholar.google.com/scholar?q=Fetzer%2C+T.%2C+Lambert%2C+P.%2C+Feld%2C+B.%2C+%26+Garg%2C+P.+%282024%29.+Ai-generated+production+networks%3A+Mea-+surement+and+applications+t","search")</f>
        <v/>
      </c>
      <c r="G106" s="3" t="n"/>
      <c r="H106" s="3" t="n"/>
      <c r="I106" s="3" t="n"/>
      <c r="J106" s="3" t="n"/>
      <c r="K106" t="inlineStr">
        <is>
          <t>NO</t>
        </is>
      </c>
      <c r="L106" s="3" t="n"/>
    </row>
    <row r="107" ht="42" customHeight="1">
      <c r="A107" t="inlineStr">
        <is>
          <t>F106</t>
        </is>
      </c>
      <c r="B107" t="inlineStr">
        <is>
          <t>2026</t>
        </is>
      </c>
      <c r="C107" t="inlineStr">
        <is>
          <t>Arxiv_General_Latest</t>
        </is>
      </c>
      <c r="D107" t="inlineStr">
        <is>
          <t>2605.27090v2.pdf</t>
        </is>
      </c>
      <c r="E107" s="2" t="inlineStr">
        <is>
          <t>GWOSC Home Page: https://gwosc.org 22 Zenodo LVK Community Page: https://zenodo.org/communities/ ligo-virgo-kagra/ 23 CC BY 4.0 license: https://creativecommons.org/licenses/by/4.0/ Aasi, J., Abbott, B. P., Abbott, R., et al. 2015, Classical and Quantum Gravity, 32, 074001, doi: 10.1088/0264-9381/32/7/074001  28 Table 13. Percentage of the observing time in O4a, including the extra 0.8 days of engineering run data, for which data quality fail the categories described in Table 7. Short name Perce</t>
        </is>
      </c>
      <c r="F107">
        <f>HYPERLINK("https://scholar.google.com/scholar?q=GWOSC+Home+Page%3A+https%3A%2F%2Fgwosc.org+22+Zenodo+LVK+Community+Page%3A+https%3A%2F%2Fzenodo.org%2Fcommunities%2F+ligo-virgo-kagra%2F+23+CC","search")</f>
        <v/>
      </c>
      <c r="G107" s="3" t="n"/>
      <c r="H107" s="3" t="n"/>
      <c r="I107" s="3" t="n"/>
      <c r="J107" s="3" t="n"/>
      <c r="K107" t="inlineStr">
        <is>
          <t>YES</t>
        </is>
      </c>
      <c r="L107" s="3" t="n"/>
    </row>
    <row r="108" ht="42" customHeight="1">
      <c r="A108" t="inlineStr">
        <is>
          <t>F107</t>
        </is>
      </c>
      <c r="B108" t="inlineStr">
        <is>
          <t>2025</t>
        </is>
      </c>
      <c r="C108" t="inlineStr">
        <is>
          <t>Arxiv_CS_2025</t>
        </is>
      </c>
      <c r="D108" t="inlineStr">
        <is>
          <t>2501.11065v1.pdf</t>
        </is>
      </c>
      <c r="E108" s="2" t="inlineStr">
        <is>
          <t>Sabato Marco Siniscalchi, Jeremy Reed, Torbjørn Svendsen, and Chin-Hui Lee. Universal attribute charac- terization of spoken languages for automatic spoken language recognition. Computer Speech &amp; Language, 27(1):209–227, 2013.</t>
        </is>
      </c>
      <c r="F108">
        <f>HYPERLINK("https://scholar.google.com/scholar?q=Sabato+Marco+Siniscalchi%2C+Jeremy+Reed%2C+Torbj%C3%B8rn+Svendsen%2C+and+Chin-Hui+Lee.+Universal+attribute+charac-+terization+of+sp","search")</f>
        <v/>
      </c>
      <c r="G108" s="3" t="n"/>
      <c r="H108" s="3" t="n"/>
      <c r="I108" s="3" t="n"/>
      <c r="J108" s="3" t="n"/>
      <c r="K108" t="inlineStr">
        <is>
          <t>YES</t>
        </is>
      </c>
      <c r="L108" s="3" t="n"/>
    </row>
    <row r="109" ht="42" customHeight="1">
      <c r="A109" t="inlineStr">
        <is>
          <t>F108</t>
        </is>
      </c>
      <c r="B109" t="inlineStr">
        <is>
          <t>2023</t>
        </is>
      </c>
      <c r="C109" t="inlineStr">
        <is>
          <t>Arxiv_CS_2023</t>
        </is>
      </c>
      <c r="D109" t="inlineStr">
        <is>
          <t>2312.11260v1.pdf</t>
        </is>
      </c>
      <c r="E109" s="2" t="inlineStr">
        <is>
          <t>Transferable normalization: Towards improving trans- ferability of deep neural networks. Advances in neural in- formation processing systems, 32. Zeiler, M. D. 2012. Adadelta: an adaptive learning rate method. arXiv preprint arXiv:1212.5701. Zhmoginov, A.; Sandler, M.; and Vladymyrov, M. 2022. Hypertransformer: Model generation for supervised and semi-supervised few-shot learning. In International Con- ference on Machine Learning, 27075–27098. PMLR.  A Implementation Details A.1 Pretraining We a</t>
        </is>
      </c>
      <c r="F109">
        <f>HYPERLINK("https://scholar.google.com/scholar?q=Transferable+normalization%3A+Towards+improving+trans-+ferability+of+deep+neural+networks.+Advances+in+neural+in-+formatio","search")</f>
        <v/>
      </c>
      <c r="G109" s="3" t="n"/>
      <c r="H109" s="3" t="n"/>
      <c r="I109" s="3" t="n"/>
      <c r="J109" s="3" t="n"/>
      <c r="K109" t="inlineStr">
        <is>
          <t>NO</t>
        </is>
      </c>
      <c r="L109" s="3" t="n"/>
    </row>
    <row r="110" ht="42" customHeight="1">
      <c r="A110" t="inlineStr">
        <is>
          <t>F109</t>
        </is>
      </c>
      <c r="B110" t="inlineStr">
        <is>
          <t>2025</t>
        </is>
      </c>
      <c r="C110" t="inlineStr">
        <is>
          <t>Arxiv_CS_2025</t>
        </is>
      </c>
      <c r="D110" t="inlineStr">
        <is>
          <t>2501.19245v2.pdf</t>
        </is>
      </c>
      <c r="E110" s="2" t="inlineStr">
        <is>
          <t>Seo, H.; and Lee, D. 2017. Reinforcement learning and strategic reasoning during social decision-making. In De- cision Neuroscience, 225–231. Elsevier. Sutton, R. S.; and Barto, A. G. 1998. Reinforcement Learn- ing: An Introduction. MIT Press. Taylor, M. E.; Nissen, N.; Wang, Y.; and Navidi, N. 2023. Improving reinforcement learning with human assistance: an argument for human subject studies with HIPPO Gym. Neural Computing and Applications, 35(32): 23429–23439. Terry, J.; Black, B.; Grammel, N</t>
        </is>
      </c>
      <c r="F110">
        <f>HYPERLINK("https://scholar.google.com/scholar?q=Seo%2C+H.%3B+and+Lee%2C+D.+2017.+Reinforcement+learning+and+strategic+reasoning+during+social+decision-making.+In+De-+cision+N","search")</f>
        <v/>
      </c>
      <c r="G110" s="3" t="n"/>
      <c r="H110" s="3" t="n"/>
      <c r="I110" s="3" t="n"/>
      <c r="J110" s="3" t="n"/>
      <c r="K110" t="inlineStr">
        <is>
          <t>NO</t>
        </is>
      </c>
      <c r="L110" s="3" t="n"/>
    </row>
    <row r="111" ht="42" customHeight="1">
      <c r="A111" t="inlineStr">
        <is>
          <t>F110</t>
        </is>
      </c>
      <c r="B111" t="inlineStr">
        <is>
          <t>2016</t>
        </is>
      </c>
      <c r="C111" t="inlineStr">
        <is>
          <t>NeurIPS_2016</t>
        </is>
      </c>
      <c r="D111" t="inlineStr">
        <is>
          <t>03f544613917945245041ea1581df0c2-Paper.pdf</t>
        </is>
      </c>
      <c r="E111" s="2" t="inlineStr">
        <is>
          <t>U. S¸ims¸ekli, R. Badeau, A. T. Cemgil, and G. Richard, “Stochastic quasi-Newton Langevin Monte Carlo,” in ICML, 2016.</t>
        </is>
      </c>
      <c r="F111">
        <f>HYPERLINK("https://scholar.google.com/scholar?q=U.+S%C2%B8ims%C2%B8ekli%2C+R.+Badeau%2C+A.+T.+Cemgil%2C+and+G.+Richard%2C+%E2%80%9CStochastic+quasi-Newton+Langevin+Monte+Carlo%2C%E2%80%9D+in+ICML%2C+2016.","search")</f>
        <v/>
      </c>
      <c r="G111" s="3" t="n"/>
      <c r="H111" s="3" t="n"/>
      <c r="I111" s="3" t="n"/>
      <c r="J111" s="3" t="n"/>
      <c r="K111" t="inlineStr">
        <is>
          <t>NO</t>
        </is>
      </c>
      <c r="L111" s="3" t="n"/>
    </row>
    <row r="112" ht="42" customHeight="1">
      <c r="A112" t="inlineStr">
        <is>
          <t>F111</t>
        </is>
      </c>
      <c r="B112" t="inlineStr">
        <is>
          <t>2023</t>
        </is>
      </c>
      <c r="C112" t="inlineStr">
        <is>
          <t>NeurIPS_2023</t>
        </is>
      </c>
      <c r="D112" t="inlineStr">
        <is>
          <t>03b1043052700b1a471996b0baf309d4-Paper-Conference.pdf</t>
        </is>
      </c>
      <c r="E112" s="2" t="inlineStr">
        <is>
          <t>Deﬁnition 5. Given a collection of group distributions G, some H′ ⊆H, a hypothesis h ∈H′, some subset R ⊆X measurable with respect to each marginal of Dg ∈G, and labeled samples SR,k and SRc,k, we deﬁne the empirical estimate of the multi-group loss of h parameterized by R via Lmax S;R (h) := max g∈[G] LS;R(h | g). Having recalled the way in which we form empirical estimates for the group worst-case loss of a given hypothesis, we can show a simple concentration lemma for this group worst-case lo</t>
        </is>
      </c>
      <c r="F112">
        <f>HYPERLINK("https://scholar.google.com/scholar?q=De%EF%AC%81nition+5.+Given+a+collection+of+group+distributions+G%2C+some+H%E2%80%B2+%E2%8A%86H%2C+a+hypothesis+h+%E2%88%88H%E2%80%B2%2C+some+subset+R+%E2%8A%86X+measurable+wi","search")</f>
        <v/>
      </c>
      <c r="G112" s="3" t="n"/>
      <c r="H112" s="3" t="n"/>
      <c r="I112" s="3" t="n"/>
      <c r="J112" s="3" t="n"/>
      <c r="K112" t="inlineStr">
        <is>
          <t>NO</t>
        </is>
      </c>
      <c r="L112" s="3" t="n"/>
    </row>
    <row r="113" ht="42" customHeight="1">
      <c r="A113" t="inlineStr">
        <is>
          <t>F112</t>
        </is>
      </c>
      <c r="B113" t="inlineStr">
        <is>
          <t>2016</t>
        </is>
      </c>
      <c r="C113" t="inlineStr">
        <is>
          <t>NeurIPS_2016</t>
        </is>
      </c>
      <c r="D113" t="inlineStr">
        <is>
          <t>0966289037ad9846c5e994be2a91bafa-Paper.pdf</t>
        </is>
      </c>
      <c r="E113" s="2" t="inlineStr">
        <is>
          <t>Nitish Korula, Vahab S. Mirrokni, and Morteza Zadimoghaddam. Bicriteria online matching: Maximizing weight and cardinality. In WINE, pages 305–318, 2013.</t>
        </is>
      </c>
      <c r="F113">
        <f>HYPERLINK("https://scholar.google.com/scholar?q=Nitish+Korula%2C+Vahab+S.+Mirrokni%2C+and+Morteza+Zadimoghaddam.+Bicriteria+online+matching%3A+Maximizing+weight+and+cardinali","search")</f>
        <v/>
      </c>
      <c r="G113" s="3" t="n"/>
      <c r="H113" s="3" t="n"/>
      <c r="I113" s="3" t="n"/>
      <c r="J113" s="3" t="n"/>
      <c r="K113" t="inlineStr">
        <is>
          <t>NO</t>
        </is>
      </c>
      <c r="L113" s="3" t="n"/>
    </row>
    <row r="114" ht="42" customHeight="1">
      <c r="A114" t="inlineStr">
        <is>
          <t>F113</t>
        </is>
      </c>
      <c r="B114" t="inlineStr">
        <is>
          <t>2026</t>
        </is>
      </c>
      <c r="C114" t="inlineStr">
        <is>
          <t>Arxiv_General_Latest</t>
        </is>
      </c>
      <c r="D114" t="inlineStr">
        <is>
          <t>2604.03661v2.pdf</t>
        </is>
      </c>
      <c r="E114" s="2" t="inlineStr">
        <is>
          <t>B. Alessandro et al. Charmonia and Drell-Yan produc- tion in proton-nucleus collisions at the CERN SPS. Phys. Lett. B, 553:167–178, 2003.</t>
        </is>
      </c>
      <c r="F114">
        <f>HYPERLINK("https://scholar.google.com/scholar?q=B.+Alessandro+et+al.+Charmonia+and+Drell-Yan+produc-+tion+in+proton-nucleus+collisions+at+the+CERN+SPS.+Phys.+Lett.+B%2C+5","search")</f>
        <v/>
      </c>
      <c r="G114" s="3" t="n"/>
      <c r="H114" s="3" t="n"/>
      <c r="I114" s="3" t="n"/>
      <c r="J114" s="3" t="n"/>
      <c r="K114" t="inlineStr">
        <is>
          <t>YES</t>
        </is>
      </c>
      <c r="L114" s="3" t="n"/>
    </row>
    <row r="115" ht="42" customHeight="1">
      <c r="A115" t="inlineStr">
        <is>
          <t>F114</t>
        </is>
      </c>
      <c r="B115" t="inlineStr">
        <is>
          <t>2025</t>
        </is>
      </c>
      <c r="C115" t="inlineStr">
        <is>
          <t>Arxiv_CS_2025</t>
        </is>
      </c>
      <c r="D115" t="inlineStr">
        <is>
          <t>2501.15648v1.pdf</t>
        </is>
      </c>
      <c r="E115" s="2" t="inlineStr">
        <is>
          <t>Megh Shukla, Roshan Roy, Pankaj Singh, Shuaib Ahmed, and Alexandre Alahi. VL4Pose: Active learning through out-of-distribution detection for pose estimation. arXiv preprint arXiv:2210.06028, 2022. 3</t>
        </is>
      </c>
      <c r="F115">
        <f>HYPERLINK("https://scholar.google.com/scholar?q=Megh+Shukla%2C+Roshan+Roy%2C+Pankaj+Singh%2C+Shuaib+Ahmed%2C+and+Alexandre+Alahi.+VL4Pose%3A+Active+learning+through+out-of-distri","search")</f>
        <v/>
      </c>
      <c r="G115" s="3" t="n"/>
      <c r="H115" s="3" t="n"/>
      <c r="I115" s="3" t="n"/>
      <c r="J115" s="3" t="n"/>
      <c r="K115" t="inlineStr">
        <is>
          <t>NO</t>
        </is>
      </c>
      <c r="L115" s="3" t="n"/>
    </row>
    <row r="116" ht="42" customHeight="1">
      <c r="A116" t="inlineStr">
        <is>
          <t>F115</t>
        </is>
      </c>
      <c r="B116" t="inlineStr">
        <is>
          <t>2016</t>
        </is>
      </c>
      <c r="C116" t="inlineStr">
        <is>
          <t>Arxiv_CS_2016</t>
        </is>
      </c>
      <c r="D116" t="inlineStr">
        <is>
          <t>1606.03044v1.pdf</t>
        </is>
      </c>
      <c r="E116" s="2" t="inlineStr">
        <is>
          <t>F. Gouyon, S. Dixon, E. Pampalk, and G. Widmer. 2004. Evaluating rhythmic descriptors for musical genre classiﬁcation. In Proc. Int. Audio Eng. Soc. Conf. 196–204. F. Gouyon, B. L. Sturm, J. L. Oliveira, N. Hespanhol, and T. Langlois. 2013. On evaluation in music autotag- ging research. (submitted) (2013). P. Hamel and D. Eck. 2010. Learning features from music audio with deep belief networks. In Proc. ISMIR. 339–344. T. Hastie, R. Tibshirani, and J. Friedman. 2009. The Elements of Statistical L</t>
        </is>
      </c>
      <c r="F116">
        <f>HYPERLINK("https://scholar.google.com/scholar?q=F.+Gouyon%2C+S.+Dixon%2C+E.+Pampalk%2C+and+G.+Widmer.+2004.+Evaluating+rhythmic+descriptors+for+musical+genre+classi%EF%AC%81cation.+I","search")</f>
        <v/>
      </c>
      <c r="G116" s="3" t="n"/>
      <c r="H116" s="3" t="n"/>
      <c r="I116" s="3" t="n"/>
      <c r="J116" s="3" t="n"/>
      <c r="K116" t="inlineStr">
        <is>
          <t>YES</t>
        </is>
      </c>
      <c r="L116" s="3" t="n"/>
    </row>
    <row r="117" ht="42" customHeight="1">
      <c r="A117" t="inlineStr">
        <is>
          <t>F116</t>
        </is>
      </c>
      <c r="B117" t="inlineStr">
        <is>
          <t>2016</t>
        </is>
      </c>
      <c r="C117" t="inlineStr">
        <is>
          <t>NeurIPS_2016</t>
        </is>
      </c>
      <c r="D117" t="inlineStr">
        <is>
          <t>2823f4797102ce1a1aec05359cc16dd9-Paper.pdf</t>
        </is>
      </c>
      <c r="E117" s="2" t="inlineStr">
        <is>
          <t>Alex Krizhevsky, Ilya Sutskever, and Geoffrey E. Hinton. Imagenet classiﬁcation with deep convolutional neural networks. In NIPS, 2012.</t>
        </is>
      </c>
      <c r="F117">
        <f>HYPERLINK("https://scholar.google.com/scholar?q=Alex+Krizhevsky%2C+Ilya+Sutskever%2C+and+Geoffrey+E.+Hinton.+Imagenet+classi%EF%AC%81cation+with+deep+convolutional+neural+networks.","search")</f>
        <v/>
      </c>
      <c r="G117" s="3" t="n"/>
      <c r="H117" s="3" t="n"/>
      <c r="I117" s="3" t="n"/>
      <c r="J117" s="3" t="n"/>
      <c r="K117" t="inlineStr">
        <is>
          <t>YES</t>
        </is>
      </c>
      <c r="L117" s="3" t="n"/>
    </row>
    <row r="118" ht="42" customHeight="1">
      <c r="A118" t="inlineStr">
        <is>
          <t>F117</t>
        </is>
      </c>
      <c r="B118" t="inlineStr">
        <is>
          <t>2025</t>
        </is>
      </c>
      <c r="C118" t="inlineStr">
        <is>
          <t>Arxiv_CS_2025</t>
        </is>
      </c>
      <c r="D118" t="inlineStr">
        <is>
          <t>2501.17411v1.pdf</t>
        </is>
      </c>
      <c r="E118" s="2" t="inlineStr">
        <is>
          <t>J. Han, C. Gondro, K. Reid, and J. P. Steibel, “Heuristic hyperparameter optimization of deep learning models for genomic prediction,” G3, vol. 11, no. 7, p. jkab032, 2021.</t>
        </is>
      </c>
      <c r="F118">
        <f>HYPERLINK("https://scholar.google.com/scholar?q=J.+Han%2C+C.+Gondro%2C+K.+Reid%2C+and+J.+P.+Steibel%2C+%E2%80%9CHeuristic+hyperparameter+optimization+of+deep+learning+models+for+genomi","search")</f>
        <v/>
      </c>
      <c r="G118" s="3" t="n"/>
      <c r="H118" s="3" t="n"/>
      <c r="I118" s="3" t="n"/>
      <c r="J118" s="3" t="n"/>
      <c r="K118" t="inlineStr">
        <is>
          <t>NO</t>
        </is>
      </c>
      <c r="L118" s="3" t="n"/>
    </row>
    <row r="119" ht="42" customHeight="1">
      <c r="A119" t="inlineStr">
        <is>
          <t>F118</t>
        </is>
      </c>
      <c r="B119" t="inlineStr">
        <is>
          <t>2026</t>
        </is>
      </c>
      <c r="C119" t="inlineStr">
        <is>
          <t>Arxiv_General_Latest</t>
        </is>
      </c>
      <c r="D119" t="inlineStr">
        <is>
          <t>2604.12242v1.pdf</t>
        </is>
      </c>
      <c r="E119" s="2" t="inlineStr">
        <is>
          <t>An, D., Ram´ırez, S. V., Sellgren, K., et al. 2011, ApJ, 736, 133, doi: 10.1088/0004-637X/736/2/133 Anderson, A. R., Williams, J. P., Blake, G. A., et al. 2024a, ApJ, 977, 213, doi: 10.3847/1538-4357/ad7e16 Anderson, A. R., Williams, J. P., Blake, G. A., et al. 2024b, ApJ, 977, 213, doi: 10.3847/1538-4357/ad7e16 Arabhavi, A. M., Kamp, I., Henning, T., et al. 2024, Science, 384, 1086, doi: 10.1126/science.adi8147 Arabhavi, A. M., Kamp, I., Henning, T., et al. 2025, A&amp;A, 699, A194, doi: 10.1051/00</t>
        </is>
      </c>
      <c r="F119">
        <f>HYPERLINK("https://scholar.google.com/scholar?q=An%2C+D.%2C+Ram%C2%B4%C4%B1rez%2C+S.+V.%2C+Sellgren%2C+K.%2C+et+al.+2011%2C+ApJ%2C+736%2C+133%2C+doi%3A+10.1088%2F0004-637X%2F736%2F2%2F133+Anderson%2C+A.+R.%2C+Wil","search")</f>
        <v/>
      </c>
      <c r="G119" s="3" t="n"/>
      <c r="H119" s="3" t="n"/>
      <c r="I119" s="3" t="n"/>
      <c r="J119" s="3" t="n"/>
      <c r="K119" t="inlineStr">
        <is>
          <t>YES</t>
        </is>
      </c>
      <c r="L119" s="3" t="n"/>
    </row>
    <row r="120" ht="42" customHeight="1">
      <c r="A120" t="inlineStr">
        <is>
          <t>F119</t>
        </is>
      </c>
      <c r="B120" t="inlineStr">
        <is>
          <t>2025</t>
        </is>
      </c>
      <c r="C120" t="inlineStr">
        <is>
          <t>Arxiv_CS_2025</t>
        </is>
      </c>
      <c r="D120" t="inlineStr">
        <is>
          <t>2501.11171v1.pdf</t>
        </is>
      </c>
      <c r="E120" s="2" t="inlineStr">
        <is>
          <t>Wu, X., Hauptmann, A.G., Ngo, C.W.: Practical elimination of near-duplicates from web video search. In: Proceedings of the 15th ACM international conference on Multimedia. pp. 218–227 (2007)</t>
        </is>
      </c>
      <c r="F120">
        <f>HYPERLINK("https://scholar.google.com/scholar?q=Wu%2C+X.%2C+Hauptmann%2C+A.G.%2C+Ngo%2C+C.W.%3A+Practical+elimination+of+near-duplicates+from+web+video+search.+In%3A+Proceedings+of+t","search")</f>
        <v/>
      </c>
      <c r="G120" s="3" t="n"/>
      <c r="H120" s="3" t="n"/>
      <c r="I120" s="3" t="n"/>
      <c r="J120" s="3" t="n"/>
      <c r="K120" t="inlineStr">
        <is>
          <t>NO</t>
        </is>
      </c>
      <c r="L120" s="3" t="n"/>
    </row>
    <row r="121" ht="42" customHeight="1">
      <c r="A121" t="inlineStr">
        <is>
          <t>F120</t>
        </is>
      </c>
      <c r="B121" t="inlineStr">
        <is>
          <t>2016</t>
        </is>
      </c>
      <c r="C121" t="inlineStr">
        <is>
          <t>NeurIPS_2016</t>
        </is>
      </c>
      <c r="D121" t="inlineStr">
        <is>
          <t>03afdbd66e7929b125f8597834fa83a4-Paper.pdf</t>
        </is>
      </c>
      <c r="E121" s="2" t="inlineStr">
        <is>
          <t>2 Jacob Walker, Carl Doersch, Abhinav Gupta, and Martial Hebert. An uncertain future: Forecasting from static images using variational autoencoders. In ECCV, 2016. 2 John YA Wang and Edward H Adelson. Layered representation for motion analysis. In CVPR, 1993. 4 Yair Weiss and Edward H Adelson. Slow and Smooth: a Bayesian theory for the combination of local motion signals in human vision. Center for Biological and Computational Learning Paper, 158(1624):1–42, 1998. 2 Yonatan Wexler, Eli Shechtman</t>
        </is>
      </c>
      <c r="F121">
        <f>HYPERLINK("https://scholar.google.com/scholar?q=2+Jacob+Walker%2C+Carl+Doersch%2C+Abhinav+Gupta%2C+and+Martial+Hebert.+An+uncertain+future%3A+Forecasting+from+static+images+usi","search")</f>
        <v/>
      </c>
      <c r="G121" s="3" t="n"/>
      <c r="H121" s="3" t="n"/>
      <c r="I121" s="3" t="n"/>
      <c r="J121" s="3" t="n"/>
      <c r="K121" t="inlineStr">
        <is>
          <t>NO</t>
        </is>
      </c>
      <c r="L121" s="3" t="n"/>
    </row>
    <row r="122" ht="42" customHeight="1">
      <c r="A122" t="inlineStr">
        <is>
          <t>F121</t>
        </is>
      </c>
      <c r="B122" t="inlineStr">
        <is>
          <t>2025</t>
        </is>
      </c>
      <c r="C122" t="inlineStr">
        <is>
          <t>Arxiv_CS_2025</t>
        </is>
      </c>
      <c r="D122" t="inlineStr">
        <is>
          <t>2502.02380v1.pdf</t>
        </is>
      </c>
      <c r="E122" s="2" t="inlineStr">
        <is>
          <t>• For each edge e that is incident to vertices u and v in G, we add two possible delegations: one from the voter of E that corresponds to e towards the voter of V that corresponds to v and one from the voter of E that corresponds to e towards the voter of V that corresponds to u. • There is an edge from each voter in V to every voter in {y1, y2, . . . , yk+1}. • There is an edge from each voter in D to voter x. We call Y the set {y1, y2, . . . , yk+1}. To prove the forward direction, suppose tha</t>
        </is>
      </c>
      <c r="F122">
        <f>HYPERLINK("https://scholar.google.com/scholar?q=%E2%80%A2+For+each+edge+e+that+is+incident+to+vertices+u+and+v+in+G%2C+we+add+two+possible+delegations%3A+one+from+the+voter+of+E+th","search")</f>
        <v/>
      </c>
      <c r="G122" s="3" t="n"/>
      <c r="H122" s="3" t="n"/>
      <c r="I122" s="3" t="n"/>
      <c r="J122" s="3" t="n"/>
      <c r="K122" t="inlineStr">
        <is>
          <t>NO</t>
        </is>
      </c>
      <c r="L122" s="3" t="n"/>
    </row>
    <row r="123" ht="42" customHeight="1">
      <c r="A123" t="inlineStr">
        <is>
          <t>F122</t>
        </is>
      </c>
      <c r="B123" t="inlineStr">
        <is>
          <t>2023</t>
        </is>
      </c>
      <c r="C123" t="inlineStr">
        <is>
          <t>NeurIPS_2023</t>
        </is>
      </c>
      <c r="D123" t="inlineStr">
        <is>
          <t>043f0503c4f652c737add3690aa5d12c-Paper-Conference.pdf</t>
        </is>
      </c>
      <c r="E123" s="2" t="inlineStr">
        <is>
          <t>[33] Syed Waqas Zamir, Aditya Arora, Salman Khan, Munawar Hayat, Fahad Shahbaz Khan, Ming- Hsuan Yang, and Ling Shao. Multi-stage progressive image restoration. In 2021 IEEE/CVF Conference on Computer Vision and Pattern Recognition (CVPR), pages 14816–14826, 2021. 12</t>
        </is>
      </c>
      <c r="F123">
        <f>HYPERLINK("https://scholar.google.com/scholar?q=%5B33%5D+Syed+Waqas+Zamir%2C+Aditya+Arora%2C+Salman+Khan%2C+Munawar+Hayat%2C+Fahad+Shahbaz+Khan%2C+Ming-+Hsuan+Yang%2C+and+Ling+Shao.+Mu","search")</f>
        <v/>
      </c>
      <c r="G123" s="3" t="n"/>
      <c r="H123" s="3" t="n"/>
      <c r="I123" s="3" t="n"/>
      <c r="J123" s="3" t="n"/>
      <c r="K123" t="inlineStr">
        <is>
          <t>NO</t>
        </is>
      </c>
      <c r="L123" s="3" t="n"/>
    </row>
    <row r="124" ht="42" customHeight="1">
      <c r="A124" t="inlineStr">
        <is>
          <t>F123</t>
        </is>
      </c>
      <c r="B124" t="inlineStr">
        <is>
          <t>2025</t>
        </is>
      </c>
      <c r="C124" t="inlineStr">
        <is>
          <t>Arxiv_CS_2025</t>
        </is>
      </c>
      <c r="D124" t="inlineStr">
        <is>
          <t>2502.01303v1.pdf</t>
        </is>
      </c>
      <c r="E124" s="2" t="inlineStr">
        <is>
          <t xml:space="preserve">The Complements of Ablation Studies Partial Attention vs. Classic Visual Attention: To further prove the superiority of our proposed PATConv, we present experiment results for the combination of our partial atten- tion and classic visual attention networks, and the results are shown in Tab. 12. The results demonstrate the effectiveness of our enhanced PATConv block, .e., PAT ch. Partial Attention Convolution (PATConv) vs. Partial Convolution (PConv) Under the Same Training Settings. In order to </t>
        </is>
      </c>
      <c r="F124">
        <f>HYPERLINK("https://scholar.google.com/scholar?q=The+Complements+of+Ablation+Studies+Partial+Attention+vs.+Classic+Visual+Attention%3A+To+further+prove+the+superiority+of+","search")</f>
        <v/>
      </c>
      <c r="G124" s="3" t="n"/>
      <c r="H124" s="3" t="n"/>
      <c r="I124" s="3" t="n"/>
      <c r="J124" s="3" t="n"/>
      <c r="K124" t="inlineStr">
        <is>
          <t>NO</t>
        </is>
      </c>
      <c r="L124" s="3" t="n"/>
    </row>
    <row r="125" ht="42" customHeight="1">
      <c r="A125" t="inlineStr">
        <is>
          <t>F124</t>
        </is>
      </c>
      <c r="B125" t="inlineStr">
        <is>
          <t>2023</t>
        </is>
      </c>
      <c r="C125" t="inlineStr">
        <is>
          <t>Arxiv_Bio_2023</t>
        </is>
      </c>
      <c r="D125" t="inlineStr">
        <is>
          <t>2311.02029v5.pdf</t>
        </is>
      </c>
      <c r="E125" s="2" t="inlineStr">
        <is>
          <t>Microbiome 8, 124 (2020).  22.​ Yacouby, R. &amp; Axman, D. Probabilistic Extension of Precision, Recall, and F1 Score for More  Thorough Evaluation of Classification Models. in Proceedings of the First Workshop on Evaluation  and Comparison of NLP Systems 79–91 (Association for Computational Linguistics, Online, 2020).  23.​ Marian, A. J. Challenges in medical applications of whole exome/genome sequencing discoveries.  Trends Cardiovasc. Med. 22, 219–223 (2012).  24.​ Loman, N. J. et al. High-throu</t>
        </is>
      </c>
      <c r="F125">
        <f>HYPERLINK("https://scholar.google.com/scholar?q=Microbiome+8%2C+124+%282020%29.++22.%E2%80%8B+Yacouby%2C+R.+%26+Axman%2C+D.+Probabilistic+Extension+of+Precision%2C+Recall%2C+and+F1+Score+for+M","search")</f>
        <v/>
      </c>
      <c r="G125" s="3" t="n"/>
      <c r="H125" s="3" t="n"/>
      <c r="I125" s="3" t="n"/>
      <c r="J125" s="3" t="n"/>
      <c r="K125" t="inlineStr">
        <is>
          <t>YES</t>
        </is>
      </c>
      <c r="L125" s="3" t="n"/>
    </row>
    <row r="126" ht="42" customHeight="1">
      <c r="A126" t="inlineStr">
        <is>
          <t>F125</t>
        </is>
      </c>
      <c r="B126" t="inlineStr">
        <is>
          <t>2016</t>
        </is>
      </c>
      <c r="C126" t="inlineStr">
        <is>
          <t>Arxiv_Bio_2016</t>
        </is>
      </c>
      <c r="D126" t="inlineStr">
        <is>
          <t>1608.05501v2.pdf</t>
        </is>
      </c>
      <c r="E126" s="2" t="inlineStr">
        <is>
          <t xml:space="preserve">Abbott, L., Dayan, P., 1999. The effect of correlated variability on the accuracy of a population code. Neural Comput. 11 (1), 91–101. Aﬂalo, T., Kellis, S., Klaes, C., Lee, B., Shi, Y., Pejsa, K., Shanﬁeld, K., Hayes-Jackson, S., Aisen, M., Heck, C., Liu, C., Andersen, R., 2015. Decoding motor imagery from the posterior parietal cortex of a tetraplegic human. Science 348 (6237), 906–910. Akam, T., Kullmann, D., 2014. Oscillatory multiplexing of population codes for selec- tive communication in </t>
        </is>
      </c>
      <c r="F126">
        <f>HYPERLINK("https://scholar.google.com/scholar?q=Abbott%2C+L.%2C+Dayan%2C+P.%2C+1999.+The+effect+of+correlated+variability+on+the+accuracy+of+a+population+code.+Neural+Comput.+1","search")</f>
        <v/>
      </c>
      <c r="G126" s="3" t="n"/>
      <c r="H126" s="3" t="n"/>
      <c r="I126" s="3" t="n"/>
      <c r="J126" s="3" t="n"/>
      <c r="K126" t="inlineStr">
        <is>
          <t>NO</t>
        </is>
      </c>
      <c r="L126" s="3" t="n"/>
    </row>
    <row r="127" ht="42" customHeight="1">
      <c r="A127" t="inlineStr">
        <is>
          <t>F126</t>
        </is>
      </c>
      <c r="B127" t="inlineStr">
        <is>
          <t>2016</t>
        </is>
      </c>
      <c r="C127" t="inlineStr">
        <is>
          <t>NeurIPS_2016</t>
        </is>
      </c>
      <c r="D127" t="inlineStr">
        <is>
          <t>04df4d434d481c5bb723be1b6df1ee65-Paper.pdf</t>
        </is>
      </c>
      <c r="E127" s="2" t="inlineStr">
        <is>
          <t>[9] I. Dhillon, Y. Guan, and B. Kulis. Weighted Graph Cuts Without Eigenvectors: A Multilevel Approach. IEEE Transactions on Pattern Analysis and Machine Intelligence (PAMI), 29(11):1944–1957, 2007.</t>
        </is>
      </c>
      <c r="F127">
        <f>HYPERLINK("https://scholar.google.com/scholar?q=%5B9%5D+I.+Dhillon%2C+Y.+Guan%2C+and+B.+Kulis.+Weighted+Graph+Cuts+Without+Eigenvectors%3A+A+Multilevel+Approach.+IEEE+Transaction","search")</f>
        <v/>
      </c>
      <c r="G127" s="3" t="n"/>
      <c r="H127" s="3" t="n"/>
      <c r="I127" s="3" t="n"/>
      <c r="J127" s="3" t="n"/>
      <c r="K127" t="inlineStr">
        <is>
          <t>NO</t>
        </is>
      </c>
      <c r="L127" s="3" t="n"/>
    </row>
    <row r="128" ht="42" customHeight="1">
      <c r="A128" t="inlineStr">
        <is>
          <t>F127</t>
        </is>
      </c>
      <c r="B128" t="inlineStr">
        <is>
          <t>2025</t>
        </is>
      </c>
      <c r="C128" t="inlineStr">
        <is>
          <t>Arxiv_CS_2025</t>
        </is>
      </c>
      <c r="D128" t="inlineStr">
        <is>
          <t>2501.17510v1.pdf</t>
        </is>
      </c>
      <c r="E128" s="2" t="inlineStr">
        <is>
          <t>Mesk´o, B., Topol, E.J.: The imperative for regulatory oversight of large language models (or generative ai) in healthcare. npj Digital Medicine 2023 6:1 6, 1–6 (2023) https://doi.org/10.1038/s41746-023-00873-0</t>
        </is>
      </c>
      <c r="F128">
        <f>HYPERLINK("https://scholar.google.com/scholar?q=Mesk%C2%B4o%2C+B.%2C+Topol%2C+E.J.%3A+The+imperative+for+regulatory+oversight+of+large+language+models+%28or+generative+ai%29+in+healthca","search")</f>
        <v/>
      </c>
      <c r="G128" s="3" t="n"/>
      <c r="H128" s="3" t="n"/>
      <c r="I128" s="3" t="n"/>
      <c r="J128" s="3" t="n"/>
      <c r="K128" t="inlineStr">
        <is>
          <t>NO</t>
        </is>
      </c>
      <c r="L128" s="3" t="n"/>
    </row>
    <row r="129" ht="42" customHeight="1">
      <c r="A129" t="inlineStr">
        <is>
          <t>F128</t>
        </is>
      </c>
      <c r="B129" t="inlineStr">
        <is>
          <t>2026</t>
        </is>
      </c>
      <c r="C129" t="inlineStr">
        <is>
          <t>Arxiv_General_Latest</t>
        </is>
      </c>
      <c r="D129" t="inlineStr">
        <is>
          <t>2604.19746v2.pdf</t>
        </is>
      </c>
      <c r="E129" s="2" t="inlineStr">
        <is>
          <t>Abdul Karim, M., Aguilar, J., Ahlen, S., et al. 2025, Physical Review D, 112, doi: 10.1103/tr6y-kpc6 Adame, A., Aguilar, J., Ahlen, S., et al. 2025, Journal of Cosmology and Astroparticle Physics, 2025, 021, doi: 10.1088/1475-7516/2025/02/021 Alam, S., Aubert, M., Avila, S., et al. 2021, Phys. Rev. D, 103, 083533, doi: 10.1103/PhysRevD.103.083533 Albrecht, A., Bernstein, G., Cahn, R., et al. 2006, arXiv e-prints, astro, doi: 10.48550/arXiv.astro-ph/0609591 Astier, P., Guy, J., Regnault, N., et a</t>
        </is>
      </c>
      <c r="F129">
        <f>HYPERLINK("https://scholar.google.com/scholar?q=Abdul+Karim%2C+M.%2C+Aguilar%2C+J.%2C+Ahlen%2C+S.%2C+et+al.+2025%2C+Physical+Review+D%2C+112%2C+doi%3A+10.1103%2Ftr6y-kpc6+Adame%2C+A.%2C+Aguilar%2C","search")</f>
        <v/>
      </c>
      <c r="G129" s="3" t="n"/>
      <c r="H129" s="3" t="n"/>
      <c r="I129" s="3" t="n"/>
      <c r="J129" s="3" t="n"/>
      <c r="K129" t="inlineStr">
        <is>
          <t>NO</t>
        </is>
      </c>
      <c r="L129" s="3" t="n"/>
    </row>
    <row r="130" ht="42" customHeight="1">
      <c r="A130" t="inlineStr">
        <is>
          <t>F129</t>
        </is>
      </c>
      <c r="B130" t="inlineStr">
        <is>
          <t>2016</t>
        </is>
      </c>
      <c r="C130" t="inlineStr">
        <is>
          <t>Arxiv_CS_2016</t>
        </is>
      </c>
      <c r="D130" t="inlineStr">
        <is>
          <t>1604.05006v2.pdf</t>
        </is>
      </c>
      <c r="E130" s="2" t="inlineStr">
        <is>
          <t xml:space="preserve">If D ⇒C D′ and D ∪Φ |= q then D′ ∪Φ |= q, where C denotes the set of constants that occur in q. Proof. Properties 1 and 2 are trivial. We only show the third one. Let us assume D ⇒C D′ and D ∪Φ |= q. Our task is to show that D′ ∪Φ |= q. Let A be a structure from Φ such that A |= D′. Then we have D′ ⊆I(A). Since D ⇒C D′, there is an injective homomorphism h : D →D′ such that h(c) = c for all c ∈C. Let B be a structure over R such that • adom(D) ⊆dom(B), and • there exists an isomorphism p from A </t>
        </is>
      </c>
      <c r="F130">
        <f>HYPERLINK("https://scholar.google.com/scholar?q=If+D+%E2%87%92C+D%E2%80%B2+and+D+%E2%88%AA%CE%A6+%7C%3D+q+then+D%E2%80%B2+%E2%88%AA%CE%A6+%7C%3D+q%2C+where+C+denotes+the+set+of+constants+that+occur+in+q.+Proof.+Properties+1+and+","search")</f>
        <v/>
      </c>
      <c r="G130" s="3" t="n"/>
      <c r="H130" s="3" t="n"/>
      <c r="I130" s="3" t="n"/>
      <c r="J130" s="3" t="n"/>
      <c r="K130" t="inlineStr">
        <is>
          <t>YES</t>
        </is>
      </c>
      <c r="L130" s="3" t="n"/>
    </row>
    <row r="131" ht="42" customHeight="1">
      <c r="A131" t="inlineStr">
        <is>
          <t>F130</t>
        </is>
      </c>
      <c r="B131" t="inlineStr">
        <is>
          <t>2025</t>
        </is>
      </c>
      <c r="C131" t="inlineStr">
        <is>
          <t>Arxiv_CS_2025</t>
        </is>
      </c>
      <c r="D131" t="inlineStr">
        <is>
          <t>2501.16357v1.pdf</t>
        </is>
      </c>
      <c r="E131" s="2" t="inlineStr">
        <is>
          <t>Ahmed, U., Lin, J.C.W. and Srivastava, G., 2021, July. Fuzzy explainable attention-based deep active learning on mental-health data. In 2021 IEEE International  Conference on Fuzzy Systems (FUZZ-IEEE) (pp. 1-6). IEEE.</t>
        </is>
      </c>
      <c r="F131">
        <f>HYPERLINK("https://scholar.google.com/scholar?q=Ahmed%2C+U.%2C+Lin%2C+J.C.W.+and+Srivastava%2C+G.%2C+2021%2C+July.+Fuzzy+explainable+attention-based+deep+active+learning+on+mental-","search")</f>
        <v/>
      </c>
      <c r="G131" s="3" t="n"/>
      <c r="H131" s="3" t="n"/>
      <c r="I131" s="3" t="n"/>
      <c r="J131" s="3" t="n"/>
      <c r="K131" t="inlineStr">
        <is>
          <t>NO</t>
        </is>
      </c>
      <c r="L131" s="3" t="n"/>
    </row>
    <row r="132" ht="42" customHeight="1">
      <c r="A132" t="inlineStr">
        <is>
          <t>F131</t>
        </is>
      </c>
      <c r="B132" t="inlineStr">
        <is>
          <t>2025</t>
        </is>
      </c>
      <c r="C132" t="inlineStr">
        <is>
          <t>Arxiv_CS_2025</t>
        </is>
      </c>
      <c r="D132" t="inlineStr">
        <is>
          <t>2501.09194v2.pdf</t>
        </is>
      </c>
      <c r="E132" s="2" t="inlineStr">
        <is>
          <t>Aditya Ramesh, Mikhail Pavlov, Gabriel Goh, Scott Gray, Chelsea Voss, Alec Radford, Mark Chen, and Ilya Sutskever. Zero-shot text-to-image generation. In International confer- ence on machine learning, pages 8821–8831. Pmlr, 2021. 1</t>
        </is>
      </c>
      <c r="F132">
        <f>HYPERLINK("https://scholar.google.com/scholar?q=Aditya+Ramesh%2C+Mikhail+Pavlov%2C+Gabriel+Goh%2C+Scott+Gray%2C+Chelsea+Voss%2C+Alec+Radford%2C+Mark+Chen%2C+and+Ilya+Sutskever.+Zero-","search")</f>
        <v/>
      </c>
      <c r="G132" s="3" t="n"/>
      <c r="H132" s="3" t="n"/>
      <c r="I132" s="3" t="n"/>
      <c r="J132" s="3" t="n"/>
      <c r="K132" t="inlineStr">
        <is>
          <t>NO</t>
        </is>
      </c>
      <c r="L132" s="3" t="n"/>
    </row>
    <row r="133" ht="42" customHeight="1">
      <c r="A133" t="inlineStr">
        <is>
          <t>F132</t>
        </is>
      </c>
      <c r="B133" t="inlineStr">
        <is>
          <t>2026</t>
        </is>
      </c>
      <c r="C133" t="inlineStr">
        <is>
          <t>Arxiv_General_Latest</t>
        </is>
      </c>
      <c r="D133" t="inlineStr">
        <is>
          <t>2606.10679v1.pdf</t>
        </is>
      </c>
      <c r="E133" s="2" t="inlineStr">
        <is>
          <t>Abbott T. M. C., et al. 2018, Phys. Rev. D, 98, 043526 Abbott T. M. C., et al. 2022, Phys. Rev. D, 105, 023520 Aihara H., et al. 2022, PASJ, 74, 247 Aric`o G., et al. 2020, MNRAS, 495, 4800 Aric`o G., et al. 2021, MNRAS, 506, 4070 Baldauf T., et al. 2012, Phys. Rev. D, 86, 083540 Baldauf T., et al. 2013, Phys. Rev. D, 88, 083507 Baumann D., et al. 2012, J. Cosmology Astropart. Phys., 2012, 051 Bera A., et al. 2026, arXiv e-prints, p. arXiv:2605.00818  14 0.30 0.32 Ωm 0.95 1.00 ns 0.82 0.84 σ8 0.</t>
        </is>
      </c>
      <c r="F133">
        <f>HYPERLINK("https://scholar.google.com/scholar?q=Abbott+T.+M.+C.%2C+et+al.+2018%2C+Phys.+Rev.+D%2C+98%2C+043526+Abbott+T.+M.+C.%2C+et+al.+2022%2C+Phys.+Rev.+D%2C+105%2C+023520+Aihara+H.","search")</f>
        <v/>
      </c>
      <c r="G133" s="3" t="n"/>
      <c r="H133" s="3" t="n"/>
      <c r="I133" s="3" t="n"/>
      <c r="J133" s="3" t="n"/>
      <c r="K133" t="inlineStr">
        <is>
          <t>NO</t>
        </is>
      </c>
      <c r="L133" s="3" t="n"/>
    </row>
    <row r="134" ht="42" customHeight="1">
      <c r="A134" t="inlineStr">
        <is>
          <t>F133</t>
        </is>
      </c>
      <c r="B134" t="inlineStr">
        <is>
          <t>2016</t>
        </is>
      </c>
      <c r="C134" t="inlineStr">
        <is>
          <t>Arxiv_CS_2016</t>
        </is>
      </c>
      <c r="D134" t="inlineStr">
        <is>
          <t>1606.00787v2.pdf</t>
        </is>
      </c>
      <c r="E134" s="2" t="inlineStr">
        <is>
          <t>Neal, R. MCMC using hamiltonian dynamics. Handbook of Markov Chain Monte Carlo, pp. 113–162, 2011. Rossky, PJ, Doll, JD, and Friedman, HL. Brownian dy- namics as smart monte carlo simulation. The Journal of Chemical Physics, 69(10):4628–4633, 1978. Seeger, Matthias W. Bayesian inference and optimal de- sign for the sparse linear model. The Journal of Machine Learning Research, 9:759–813, 2008. Smith, Adrian FM and Roberts, Gareth O. Bayesian com- putation via the gibbs sampler and related markov</t>
        </is>
      </c>
      <c r="F134">
        <f>HYPERLINK("https://scholar.google.com/scholar?q=Neal%2C+R.+MCMC+using+hamiltonian+dynamics.+Handbook+of+Markov+Chain+Monte+Carlo%2C+pp.+113%E2%80%93162%2C+2011.+Rossky%2C+PJ%2C+Doll%2C+JD%2C","search")</f>
        <v/>
      </c>
      <c r="G134" s="3" t="n"/>
      <c r="H134" s="3" t="n"/>
      <c r="I134" s="3" t="n"/>
      <c r="J134" s="3" t="n"/>
      <c r="K134" t="inlineStr">
        <is>
          <t>YES</t>
        </is>
      </c>
      <c r="L134" s="3" t="n"/>
    </row>
    <row r="135" ht="42" customHeight="1">
      <c r="A135" t="inlineStr">
        <is>
          <t>F134</t>
        </is>
      </c>
      <c r="B135" t="inlineStr">
        <is>
          <t>2023</t>
        </is>
      </c>
      <c r="C135" t="inlineStr">
        <is>
          <t>Arxiv_CS_2023</t>
        </is>
      </c>
      <c r="D135" t="inlineStr">
        <is>
          <t>2312.11943v1.pdf</t>
        </is>
      </c>
      <c r="E135" s="2" t="inlineStr">
        <is>
          <t>In this Appendix we provide further details into the work presented in the main paper. In particular, we present the full derivation of the stability boundary. To do this, we first outline our main tools which include: the Q-Learning Dynamics (Section 2), the Generating Functional Approach (Section 3.1) and Fixed Point Analysis (Section 3.4). Q-Learning Dynamics In Q-Learning (Watkins and Dayan 1992; Sutton and Barto 2018) an agent is required to determine an optimal strategy through repeated in</t>
        </is>
      </c>
      <c r="F135">
        <f>HYPERLINK("https://scholar.google.com/scholar?q=In+this+Appendix+we+provide+further+details+into+the+work+presented+in+the+main+paper.+In+particular%2C+we+present+the+ful","search")</f>
        <v/>
      </c>
      <c r="G135" s="3" t="n"/>
      <c r="H135" s="3" t="n"/>
      <c r="I135" s="3" t="n"/>
      <c r="J135" s="3" t="n"/>
      <c r="K135" t="inlineStr">
        <is>
          <t>NO</t>
        </is>
      </c>
      <c r="L135" s="3" t="n"/>
    </row>
    <row r="136" ht="42" customHeight="1">
      <c r="A136" t="inlineStr">
        <is>
          <t>F135</t>
        </is>
      </c>
      <c r="B136" t="inlineStr">
        <is>
          <t>2026</t>
        </is>
      </c>
      <c r="C136" t="inlineStr">
        <is>
          <t>Arxiv_General_Latest</t>
        </is>
      </c>
      <c r="D136" t="inlineStr">
        <is>
          <t>2605.27227v1.pdf</t>
        </is>
      </c>
      <c r="E136" s="2" t="inlineStr">
        <is>
          <t xml:space="preserve">Aasi, J., et al. 2015, Class. Quant. Grav., 32, 074001, doi: 10.1088/0264-9381/32/7/074001 Abac, A., et al. 2025a. https://arxiv.org/abs/2503.12263 Abac, A. G., Abouelfettouh, I., Acernese, F., et al. 2026a, To be published in this issue. https://dcc.ligo.org/LIGO-P2500701/public —. 2026b, To be published in this issue. https://dcc.ligo.org/LIGO-P2600166/public —. 2026c, To be published in this issue. https://dcc.ligo.org/LIGO-P2600152/public —. 2026d, To be published in this issue —. 2026e, To </t>
        </is>
      </c>
      <c r="F136">
        <f>HYPERLINK("https://scholar.google.com/scholar?q=Aasi%2C+J.%2C+et+al.+2015%2C+Class.+Quant.+Grav.%2C+32%2C+074001%2C+doi%3A+10.1088%2F0264-9381%2F32%2F7%2F074001+Abac%2C+A.%2C+et+al.+2025a.+https","search")</f>
        <v/>
      </c>
      <c r="G136" s="3" t="n"/>
      <c r="H136" s="3" t="n"/>
      <c r="I136" s="3" t="n"/>
      <c r="J136" s="3" t="n"/>
      <c r="K136" t="inlineStr">
        <is>
          <t>YES</t>
        </is>
      </c>
      <c r="L136" s="3" t="n"/>
    </row>
    <row r="137" ht="42" customHeight="1">
      <c r="A137" t="inlineStr">
        <is>
          <t>F136</t>
        </is>
      </c>
      <c r="B137" t="inlineStr">
        <is>
          <t>2023</t>
        </is>
      </c>
      <c r="C137" t="inlineStr">
        <is>
          <t>NeurIPS_2023</t>
        </is>
      </c>
      <c r="D137" t="inlineStr">
        <is>
          <t>060b2af0081a460f7f466f7f174d9052-Paper-Conference.pdf</t>
        </is>
      </c>
      <c r="E137" s="2" t="inlineStr">
        <is>
          <t>Thomas Bird, Johannes Ball´e, Saurabh Singh, and Philip A. Chou. 3D scene compression through entropy penalized neural representation functions. In 2021 Picture Coding Symposium (PCS), pages 1–5. IEEE,</t>
        </is>
      </c>
      <c r="F137">
        <f>HYPERLINK("https://scholar.google.com/scholar?q=Thomas+Bird%2C+Johannes+Ball%C2%B4e%2C+Saurabh+Singh%2C+and+Philip+A.+Chou.+3D+scene+compression+through+entropy+penalized+neural+r","search")</f>
        <v/>
      </c>
      <c r="G137" s="3" t="n"/>
      <c r="H137" s="3" t="n"/>
      <c r="I137" s="3" t="n"/>
      <c r="J137" s="3" t="n"/>
      <c r="K137" t="inlineStr">
        <is>
          <t>NO</t>
        </is>
      </c>
      <c r="L137" s="3" t="n"/>
    </row>
    <row r="138" ht="42" customHeight="1">
      <c r="A138" t="inlineStr">
        <is>
          <t>F137</t>
        </is>
      </c>
      <c r="B138" t="inlineStr">
        <is>
          <t>2023</t>
        </is>
      </c>
      <c r="C138" t="inlineStr">
        <is>
          <t>Arxiv_Bio_2023</t>
        </is>
      </c>
      <c r="D138" t="inlineStr">
        <is>
          <t>2301.13010v1.pdf</t>
        </is>
      </c>
      <c r="E138" s="2" t="inlineStr">
        <is>
          <t>Buehler, M.J., 2006a. Atomistic and continuum modeling of mechanical properties of collagen: Elasticity, fracture, and self-assembly. Journal of Materials Research 21, 1947–1961. doi:10.1557/jmr.2006.0236. Buehler, M.J., 2006b. Nature designs tough collagen: Explaining the nanostructure of collagen ﬁbrils. Proceedings of the National Academy of Sciences of the United States of America 103, 12285–12290. doi:10. 1073/pnas.0603216103. Buehler, M.J., 2008. Nanomechanics of collagen ﬁbrils under vary</t>
        </is>
      </c>
      <c r="F138">
        <f>HYPERLINK("https://scholar.google.com/scholar?q=Buehler%2C+M.J.%2C+2006a.+Atomistic+and+continuum+modeling+of+mechanical+properties+of+collagen%3A+Elasticity%2C+fracture%2C+and+s","search")</f>
        <v/>
      </c>
      <c r="G138" s="3" t="n"/>
      <c r="H138" s="3" t="n"/>
      <c r="I138" s="3" t="n"/>
      <c r="J138" s="3" t="n"/>
      <c r="K138" t="inlineStr">
        <is>
          <t>YES</t>
        </is>
      </c>
      <c r="L138" s="3" t="n"/>
    </row>
    <row r="139" ht="42" customHeight="1">
      <c r="A139" t="inlineStr">
        <is>
          <t>F138</t>
        </is>
      </c>
      <c r="B139" t="inlineStr">
        <is>
          <t>2026</t>
        </is>
      </c>
      <c r="C139" t="inlineStr">
        <is>
          <t>Arxiv_General_Latest</t>
        </is>
      </c>
      <c r="D139" t="inlineStr">
        <is>
          <t>2603.25808v2.pdf</t>
        </is>
      </c>
      <c r="E139" s="2" t="inlineStr">
        <is>
          <t>Aasi, J., Abbott, B., Abbott, R., et al. 2015a, The Astrophysical Journal, 813, 39, doi: 10.1088/0004-637X/813/1/39 Aasi, J., et al. 2015b, Classical and Quantum Gravity, 32, 074001, doi: 10.1088/0264-9381/32/7/074001  38 Abac, A. G., et al. 2025a, arXiv e-prints, arXiv:2508.18079, doi: 10.48550/arXiv.2508.18079 —. 2025b, submitted to Phys. Rev. D. https://arxiv.org/abs/12345.6789 Abac, A. G., Abouelfettouh, I., Acernese, F., et al. 2025c, Directional Search for Persistent Gravitational Waves: R</t>
        </is>
      </c>
      <c r="F139">
        <f>HYPERLINK("https://scholar.google.com/scholar?q=Aasi%2C+J.%2C+Abbott%2C+B.%2C+Abbott%2C+R.%2C+et+al.+2015a%2C+The+Astrophysical+Journal%2C+813%2C+39%2C+doi%3A+10.1088%2F0004-637X%2F813%2F1%2F39+Aasi","search")</f>
        <v/>
      </c>
      <c r="G139" s="3" t="n"/>
      <c r="H139" s="3" t="n"/>
      <c r="I139" s="3" t="n"/>
      <c r="J139" s="3" t="n"/>
      <c r="K139" t="inlineStr">
        <is>
          <t>NO</t>
        </is>
      </c>
      <c r="L139" s="3" t="n"/>
    </row>
    <row r="140" ht="42" customHeight="1">
      <c r="A140" t="inlineStr">
        <is>
          <t>F139</t>
        </is>
      </c>
      <c r="B140" t="inlineStr">
        <is>
          <t>2023</t>
        </is>
      </c>
      <c r="C140" t="inlineStr">
        <is>
          <t>Arxiv_Bio_2023</t>
        </is>
      </c>
      <c r="D140" t="inlineStr">
        <is>
          <t>2306.01824v1.pdf</t>
        </is>
      </c>
      <c r="E140" s="2" t="inlineStr">
        <is>
          <t xml:space="preserve">Manzil Zaheer, Guru Guruganesh, Kumar Avinava Dubey, Joshua Ainslie, Chris Alberti, Santiago Ontañón, Philip Pham, Anirudh Ravula, Qifan Wang, Li Yang, and Amr Ahmed. Big bird: Transformers for longer sequences. ArXiv, abs/2007.14062, 2020. 12  Appendix A MSA Visualization We aim to investigate how the sequences in MSA vary with MSA-Augmenter, so we present MSA colored distribution in Fig 6. We can see from the distribution in the column direction that the generated MSA shares similarities with </t>
        </is>
      </c>
      <c r="F140">
        <f>HYPERLINK("https://scholar.google.com/scholar?q=Manzil+Zaheer%2C+Guru+Guruganesh%2C+Kumar+Avinava+Dubey%2C+Joshua+Ainslie%2C+Chris+Alberti%2C+Santiago+Onta%C3%B1%C3%B3n%2C+Philip+Pham%2C+Aniru","search")</f>
        <v/>
      </c>
      <c r="G140" s="3" t="n"/>
      <c r="H140" s="3" t="n"/>
      <c r="I140" s="3" t="n"/>
      <c r="J140" s="3" t="n"/>
      <c r="K140" t="inlineStr">
        <is>
          <t>NO</t>
        </is>
      </c>
      <c r="L140" s="3" t="n"/>
    </row>
    <row r="141" ht="42" customHeight="1">
      <c r="A141" t="inlineStr">
        <is>
          <t>F140</t>
        </is>
      </c>
      <c r="B141" t="inlineStr">
        <is>
          <t>2016</t>
        </is>
      </c>
      <c r="C141" t="inlineStr">
        <is>
          <t>NeurIPS_2016</t>
        </is>
      </c>
      <c r="D141" t="inlineStr">
        <is>
          <t>052335232b11864986bb2fa20fa38748-Paper.pdf</t>
        </is>
      </c>
      <c r="E141" s="2" t="inlineStr">
        <is>
          <t>Uriel Feige. A threshold of ln n for approximating set cover. Journal of the ACM, 1998.</t>
        </is>
      </c>
      <c r="F141">
        <f>HYPERLINK("https://scholar.google.com/scholar?q=Uriel+Feige.+A+threshold+of+ln+n+for+approximating+set+cover.+Journal+of+the+ACM%2C+1998.","search")</f>
        <v/>
      </c>
      <c r="G141" s="3" t="n"/>
      <c r="H141" s="3" t="n"/>
      <c r="I141" s="3" t="n"/>
      <c r="J141" s="3" t="n"/>
      <c r="K141" t="inlineStr">
        <is>
          <t>NO</t>
        </is>
      </c>
      <c r="L141" s="3" t="n"/>
    </row>
    <row r="142" ht="42" customHeight="1">
      <c r="A142" t="inlineStr">
        <is>
          <t>F141</t>
        </is>
      </c>
      <c r="B142" t="inlineStr">
        <is>
          <t>2016</t>
        </is>
      </c>
      <c r="C142" t="inlineStr">
        <is>
          <t>NeurIPS_2016</t>
        </is>
      </c>
      <c r="D142" t="inlineStr">
        <is>
          <t>0ed9422357395a0d4879191c66f4faa2-Paper.pdf</t>
        </is>
      </c>
      <c r="E142" s="2" t="inlineStr">
        <is>
          <t>J. Huang, A. Singh, and N. Ahuja. Single image super-resolution from transformed self-exemplars. In Proc. IEEE Conf. Comp. Vis. Patt. Recogn., pages 5197–5206, 2015.</t>
        </is>
      </c>
      <c r="F142">
        <f>HYPERLINK("https://scholar.google.com/scholar?q=J.+Huang%2C+A.+Singh%2C+and+N.+Ahuja.+Single+image+super-resolution+from+transformed+self-exemplars.+In+Proc.+IEEE+Conf.+Com","search")</f>
        <v/>
      </c>
      <c r="G142" s="3" t="n"/>
      <c r="H142" s="3" t="n"/>
      <c r="I142" s="3" t="n"/>
      <c r="J142" s="3" t="n"/>
      <c r="K142" t="inlineStr">
        <is>
          <t>NO</t>
        </is>
      </c>
      <c r="L142" s="3" t="n"/>
    </row>
    <row r="143" ht="42" customHeight="1">
      <c r="A143" t="inlineStr">
        <is>
          <t>F142</t>
        </is>
      </c>
      <c r="B143" t="inlineStr">
        <is>
          <t>2023</t>
        </is>
      </c>
      <c r="C143" t="inlineStr">
        <is>
          <t>NeurIPS_2023</t>
        </is>
      </c>
      <c r="D143" t="inlineStr">
        <is>
          <t>028957869e560af14243ac37663a471e-Paper-Conference.pdf</t>
        </is>
      </c>
      <c r="E143" s="2" t="inlineStr">
        <is>
          <t xml:space="preserve">Vitaly Zankin, Gleb Ryzhakov, and Ivan Oseledets. “Gradient descent-based D-optimal design for the least-squares polynomial approximation”. In: arXiv preprint arXiv:1806.06631 (2018). 12  Supplementary Material A1 Stability of the PROTES To check the stability of the optimization result, a series of 10 calculations were performed for each method (PROTES, BS1 – BS7) with random initializations. We consider the binary knapsack problem from the work [11] (benchmark P-14, described in detail in the </t>
        </is>
      </c>
      <c r="F143">
        <f>HYPERLINK("https://scholar.google.com/scholar?q=Vitaly+Zankin%2C+Gleb+Ryzhakov%2C+and+Ivan+Oseledets.+%E2%80%9CGradient+descent-based+D-optimal+design+for+the+least-squares+polynom","search")</f>
        <v/>
      </c>
      <c r="G143" s="3" t="n"/>
      <c r="H143" s="3" t="n"/>
      <c r="I143" s="3" t="n"/>
      <c r="J143" s="3" t="n"/>
      <c r="K143" t="inlineStr">
        <is>
          <t>YES</t>
        </is>
      </c>
      <c r="L143" s="3" t="n"/>
    </row>
    <row r="144" ht="42" customHeight="1">
      <c r="A144" t="inlineStr">
        <is>
          <t>F143</t>
        </is>
      </c>
      <c r="B144" t="inlineStr">
        <is>
          <t>2026</t>
        </is>
      </c>
      <c r="C144" t="inlineStr">
        <is>
          <t>Arxiv_General_Latest</t>
        </is>
      </c>
      <c r="D144" t="inlineStr">
        <is>
          <t>2603.25938v1.pdf</t>
        </is>
      </c>
      <c r="E144" s="2" t="inlineStr">
        <is>
          <t>Aasi, J., Abbott, B. P., Abbott, R., et al. 2015, Advanced LIGO, CQGra, 32, 074001, doi: 10.1088/0264-9381/32/7/074001 Aasi, J., et al. 2015, Narrow-band search of continuous gravitational-wave signals from Crab and Vela pulsars in Virgo VSR4 data, Phys. Rev. D, 91, 022004, doi: 10.1103/PhysRevD.91.022004 Aasi, J., Abbott, B. P., Abbott, R., et al. 2015, Narrow-band search of continuous gravitational-wave signals from Crab and Vela pulsars in Virgo VSR4 data, PhRvD, 91, 022004, doi: https://doi.</t>
        </is>
      </c>
      <c r="F144">
        <f>HYPERLINK("https://scholar.google.com/scholar?q=Aasi%2C+J.%2C+Abbott%2C+B.+P.%2C+Abbott%2C+R.%2C+et+al.+2015%2C+Advanced+LIGO%2C+CQGra%2C+32%2C+074001%2C+doi%3A+10.1088%2F0264-9381%2F32%2F7%2F074001+A","search")</f>
        <v/>
      </c>
      <c r="G144" s="3" t="n"/>
      <c r="H144" s="3" t="n"/>
      <c r="I144" s="3" t="n"/>
      <c r="J144" s="3" t="n"/>
      <c r="K144" t="inlineStr">
        <is>
          <t>YES</t>
        </is>
      </c>
      <c r="L144" s="3" t="n"/>
    </row>
    <row r="145" ht="42" customHeight="1">
      <c r="A145" t="inlineStr">
        <is>
          <t>F144</t>
        </is>
      </c>
      <c r="B145" t="inlineStr">
        <is>
          <t>2025</t>
        </is>
      </c>
      <c r="C145" t="inlineStr">
        <is>
          <t>Arxiv_CS_2025</t>
        </is>
      </c>
      <c r="D145" t="inlineStr">
        <is>
          <t>2501.08922v2.pdf</t>
        </is>
      </c>
      <c r="E145" s="2" t="inlineStr">
        <is>
          <t>Jennifer Lundkvist. Cfd simulation of fluid flow during laser metal wire deposition using openfoam: 3d printing, 2019.</t>
        </is>
      </c>
      <c r="F145">
        <f>HYPERLINK("https://scholar.google.com/scholar?q=Jennifer+Lundkvist.+Cfd+simulation+of+fluid+flow+during+laser+metal+wire+deposition+using+openfoam%3A+3d+printing%2C+2019.","search")</f>
        <v/>
      </c>
      <c r="G145" s="3" t="n"/>
      <c r="H145" s="3" t="n"/>
      <c r="I145" s="3" t="n"/>
      <c r="J145" s="3" t="n"/>
      <c r="K145" t="inlineStr">
        <is>
          <t>NO</t>
        </is>
      </c>
      <c r="L145" s="3" t="n"/>
    </row>
    <row r="146" ht="42" customHeight="1">
      <c r="A146" t="inlineStr">
        <is>
          <t>F145</t>
        </is>
      </c>
      <c r="B146" t="inlineStr">
        <is>
          <t>2026</t>
        </is>
      </c>
      <c r="C146" t="inlineStr">
        <is>
          <t>Arxiv_General_Latest</t>
        </is>
      </c>
      <c r="D146" t="inlineStr">
        <is>
          <t>2605.06587v1.pdf</t>
        </is>
      </c>
      <c r="E146" s="2" t="inlineStr">
        <is>
          <t>ACTDESHSC Collaboration, Aguena, M., Aiola, S., et al. 2025, arXiv e-prints, arXiv:2507.21459, doi: 10.48550/arXiv.2507.21459 Adhikari, S., Chue, C. Y. R., &amp; Dalal, N. 2015, JCAP, 2015, 009, doi: 10.1088/1475-7516/2015/01/009 Aguena, M., Avestruz, C., Combet, C., et al. 2021, MNRAS, 508, 6092, doi: 10.1093/mnras/stab2764 Aihara, H., Arimoto, N., Armstrong, R., et al. 2018, PASJ, 70, S4, doi: 10.1093/pasj/psx066 Allen, S. W., Evrard, A. E., &amp; Mantz, A. B. 2011, ARA&amp;A, 49, 409, doi: 10.1146/annure</t>
        </is>
      </c>
      <c r="F146">
        <f>HYPERLINK("https://scholar.google.com/scholar?q=ACTDESHSC+Collaboration%2C+Aguena%2C+M.%2C+Aiola%2C+S.%2C+et+al.+2025%2C+arXiv+e-prints%2C+arXiv%3A2507.21459%2C+doi%3A+10.48550%2FarXiv.2507.","search")</f>
        <v/>
      </c>
      <c r="G146" s="3" t="n"/>
      <c r="H146" s="3" t="n"/>
      <c r="I146" s="3" t="n"/>
      <c r="J146" s="3" t="n"/>
      <c r="K146" t="inlineStr">
        <is>
          <t>YES</t>
        </is>
      </c>
      <c r="L146" s="3" t="n"/>
    </row>
    <row r="147" ht="42" customHeight="1">
      <c r="A147" t="inlineStr">
        <is>
          <t>F146</t>
        </is>
      </c>
      <c r="B147" t="inlineStr">
        <is>
          <t>2025</t>
        </is>
      </c>
      <c r="C147" t="inlineStr">
        <is>
          <t>Arxiv_CS_2025</t>
        </is>
      </c>
      <c r="D147" t="inlineStr">
        <is>
          <t>2502.04008v1.pdf</t>
        </is>
      </c>
      <c r="E147" s="2" t="inlineStr">
        <is>
          <t>J. Lin, T. Li, Y. Chen, G. Wei, J. Lin, S. Zhang, and H. Xu, “for- est: A tree-based approach for fuzzing restful apis,” arXiv preprint arXiv:2203.02906, 2022.</t>
        </is>
      </c>
      <c r="F147">
        <f>HYPERLINK("https://scholar.google.com/scholar?q=J.+Lin%2C+T.+Li%2C+Y.+Chen%2C+G.+Wei%2C+J.+Lin%2C+S.+Zhang%2C+and+H.+Xu%2C+%E2%80%9Cfor-+est%3A+A+tree-based+approach+for+fuzzing+restful+apis%2C%E2%80%9D","search")</f>
        <v/>
      </c>
      <c r="G147" s="3" t="n"/>
      <c r="H147" s="3" t="n"/>
      <c r="I147" s="3" t="n"/>
      <c r="J147" s="3" t="n"/>
      <c r="K147" t="inlineStr">
        <is>
          <t>YES</t>
        </is>
      </c>
      <c r="L147" s="3" t="n"/>
    </row>
    <row r="148" ht="42" customHeight="1">
      <c r="A148" t="inlineStr">
        <is>
          <t>F147</t>
        </is>
      </c>
      <c r="B148" t="inlineStr">
        <is>
          <t>2023</t>
        </is>
      </c>
      <c r="C148" t="inlineStr">
        <is>
          <t>NeurIPS_2023</t>
        </is>
      </c>
      <c r="D148" t="inlineStr">
        <is>
          <t>0b13c22ca208bc08f3fd13793292f25f-Paper-Conference.pdf</t>
        </is>
      </c>
      <c r="E148" s="2" t="inlineStr">
        <is>
          <t>Andrew J Wagenmaker, Yifang Chen, Max Simchowitz, Simon Du, and Kevin Jamieson. Reward-free RL is no harder than reward-aware RL in linear Markov decision processes. In International Conference on Machine Learning, pages 22430–22456. PMLR, 2022. Ruosong Wang, Russ R Salakhutdinov, and Lin Yang. Reinforcement learning with general value function approximation: Provably efficient approach via bounded eluder dimension. Advances in Neural Information Processing Systems, 33:6123–6135, 2020. Tianhao W</t>
        </is>
      </c>
      <c r="F148">
        <f>HYPERLINK("https://scholar.google.com/scholar?q=Andrew+J+Wagenmaker%2C+Yifang+Chen%2C+Max+Simchowitz%2C+Simon+Du%2C+and+Kevin+Jamieson.+Reward-free+RL+is+no+harder+than+reward-","search")</f>
        <v/>
      </c>
      <c r="G148" s="3" t="n"/>
      <c r="H148" s="3" t="n"/>
      <c r="I148" s="3" t="n"/>
      <c r="J148" s="3" t="n"/>
      <c r="K148" t="inlineStr">
        <is>
          <t>NO</t>
        </is>
      </c>
      <c r="L148" s="3" t="n"/>
    </row>
    <row r="149" ht="42" customHeight="1">
      <c r="A149" t="inlineStr">
        <is>
          <t>F148</t>
        </is>
      </c>
      <c r="B149" t="inlineStr">
        <is>
          <t>2023</t>
        </is>
      </c>
      <c r="C149" t="inlineStr">
        <is>
          <t>Arxiv_CS_2023</t>
        </is>
      </c>
      <c r="D149" t="inlineStr">
        <is>
          <t>2312.14185v2.pdf</t>
        </is>
      </c>
      <c r="E149" s="2" t="inlineStr">
        <is>
          <t>Emergency response in natural disaster management: Allocation and scheduling of rescue units. European Jour- nal of Operational Research, 235(3): 697–708. Wolf, T.; Debut, L.; Sanh, V.; Chaumond, J.; Delangue, C.; Moi, A.; Cistac, P.; Rault, T.; Louf, R.; Funtowicz, M.; and Brew, J. 2019. HuggingFace’s Transformers: State-of- the-art Natural Language Processing. https://github.com/ huggingface/transformers. Accessed: 2023-02-20. Zaheer, M.; Guruganesh, G.; Dubey, K. A.; Ainslie, J.; Al- berti, C</t>
        </is>
      </c>
      <c r="F149">
        <f>HYPERLINK("https://scholar.google.com/scholar?q=Emergency+response+in+natural+disaster+management%3A+Allocation+and+scheduling+of+rescue+units.+European+Jour-+nal+of+Oper","search")</f>
        <v/>
      </c>
      <c r="G149" s="3" t="n"/>
      <c r="H149" s="3" t="n"/>
      <c r="I149" s="3" t="n"/>
      <c r="J149" s="3" t="n"/>
      <c r="K149" t="inlineStr">
        <is>
          <t>NO</t>
        </is>
      </c>
      <c r="L149" s="3" t="n"/>
    </row>
    <row r="150" ht="42" customHeight="1">
      <c r="A150" t="inlineStr">
        <is>
          <t>F149</t>
        </is>
      </c>
      <c r="B150" t="inlineStr">
        <is>
          <t>2026</t>
        </is>
      </c>
      <c r="C150" t="inlineStr">
        <is>
          <t>Arxiv_General_Latest</t>
        </is>
      </c>
      <c r="D150" t="inlineStr">
        <is>
          <t>2603.02369v1.pdf</t>
        </is>
      </c>
      <c r="E150" s="2" t="inlineStr">
        <is>
          <t>N.-C. Ristea, F.-A. Croitoru, R. T. Ionescu, M. Popescu, F. S. Khan, and M. Shah, Self-distilled masked auto-encoders are efficient video anomaly detectors, 2024. arXiv: 2306.12041 [cs.CV]. [Online]. Available: https://arxiv.org/abs/2306.12041 19  The CMS HCAL Collaboration Yerevan Physics Institute, Yerevan, Armenia A. Gevorgyan, A. Petrosyan, A. Tumasyan Universiteit Antwerpen, Antwerpen, Belgium* M. Van De Klundert, H. Van Haevermaet, P. Van Mechelen , A. Van Spilbeeck Centro Brasileiro de Pe</t>
        </is>
      </c>
      <c r="F150">
        <f>HYPERLINK("https://scholar.google.com/scholar?q=N.-C.+Ristea%2C+F.-A.+Croitoru%2C+R.+T.+Ionescu%2C+M.+Popescu%2C+F.+S.+Khan%2C+and+M.+Shah%2C+Self-distilled+masked+auto-encoders+ar","search")</f>
        <v/>
      </c>
      <c r="G150" s="3" t="n"/>
      <c r="H150" s="3" t="n"/>
      <c r="I150" s="3" t="n"/>
      <c r="J150" s="3" t="n"/>
      <c r="K150" t="inlineStr">
        <is>
          <t>NO</t>
        </is>
      </c>
      <c r="L150" s="3" t="n"/>
    </row>
    <row r="151" ht="42" customHeight="1">
      <c r="A151" t="inlineStr">
        <is>
          <t>F150</t>
        </is>
      </c>
      <c r="B151" t="inlineStr">
        <is>
          <t>2025</t>
        </is>
      </c>
      <c r="C151" t="inlineStr">
        <is>
          <t>Arxiv_CS_2025</t>
        </is>
      </c>
      <c r="D151" t="inlineStr">
        <is>
          <t>2501.17411v1.pdf</t>
        </is>
      </c>
      <c r="E151" s="2" t="inlineStr">
        <is>
          <t>H. Hakkoum, A. Idri, and I. Abnane, “Assessing and comparing in- terpretability techniques for artificial neural networks breast cancer classification,” Computer methods in biomechanics and biomedical engineering: imaging &amp; visualization, vol. 9, no. 6, pp. 587–599, 2021.</t>
        </is>
      </c>
      <c r="F151">
        <f>HYPERLINK("https://scholar.google.com/scholar?q=H.+Hakkoum%2C+A.+Idri%2C+and+I.+Abnane%2C+%E2%80%9CAssessing+and+comparing+in-+terpretability+techniques+for+artificial+neural+network","search")</f>
        <v/>
      </c>
      <c r="G151" s="3" t="n"/>
      <c r="H151" s="3" t="n"/>
      <c r="I151" s="3" t="n"/>
      <c r="J151" s="3" t="n"/>
      <c r="K151" t="inlineStr">
        <is>
          <t>NO</t>
        </is>
      </c>
      <c r="L151" s="3" t="n"/>
    </row>
    <row r="152" ht="42" customHeight="1">
      <c r="A152" t="inlineStr">
        <is>
          <t>F151</t>
        </is>
      </c>
      <c r="B152" t="inlineStr">
        <is>
          <t>2016</t>
        </is>
      </c>
      <c r="C152" t="inlineStr">
        <is>
          <t>Arxiv_CS_2016</t>
        </is>
      </c>
      <c r="D152" t="inlineStr">
        <is>
          <t>1609.05473v6.pdf</t>
        </is>
      </c>
      <c r="E152" s="2" t="inlineStr">
        <is>
          <t>Text understanding from scratch. arXiv:1502.01710.  Appendix In Section 1, we present the step-by-step derivation of Eq. (6) in the paper. In Section 2, the detailed realization of the generative model and the discriminative model is discussed, including the model parameter settings. In Section 3, an interesting ablation study is provided, which is a supplementary to the discussions of the synthetic data experiments. Proof for Eq. (6) For readability, we provide the detailed derivation of Eq. (6</t>
        </is>
      </c>
      <c r="F152">
        <f>HYPERLINK("https://scholar.google.com/scholar?q=Text+understanding+from+scratch.+arXiv%3A1502.01710.++Appendix+In+Section+1%2C+we+present+the+step-by-step+derivation+of+Eq.","search")</f>
        <v/>
      </c>
      <c r="G152" s="3" t="n"/>
      <c r="H152" s="3" t="n"/>
      <c r="I152" s="3" t="n"/>
      <c r="J152" s="3" t="n"/>
      <c r="K152" t="inlineStr">
        <is>
          <t>YES</t>
        </is>
      </c>
      <c r="L152" s="3" t="n"/>
    </row>
    <row r="153" ht="42" customHeight="1">
      <c r="A153" t="inlineStr">
        <is>
          <t>F152</t>
        </is>
      </c>
      <c r="B153" t="inlineStr">
        <is>
          <t>2025</t>
        </is>
      </c>
      <c r="C153" t="inlineStr">
        <is>
          <t>Arxiv_CS_2025</t>
        </is>
      </c>
      <c r="D153" t="inlineStr">
        <is>
          <t>2501.14304v2.pdf</t>
        </is>
      </c>
      <c r="E153" s="2" t="inlineStr">
        <is>
          <t>The confidence in this score is 9. Agent1 Thought: The product B09LSKQF8C seems to fit the requirements as it is a dual-band streaming media player and is priced below $350.00. How- ever, the product description does not mention if it has a quad-core processor. To ensure that it meets all the criteria, I need to click on the product index B09LSKQF8C to view more detailed information before making a purchase decision. Action: click[b09lskqf8c] Observation: Product description is Superbox S3 Pro D</t>
        </is>
      </c>
      <c r="F153">
        <f>HYPERLINK("https://scholar.google.com/scholar?q=The+confidence+in+this+score+is+9.+Agent1+Thought%3A+The+product+B09LSKQF8C+seems+to+fit+the+requirements+as+it+is+a+dual-","search")</f>
        <v/>
      </c>
      <c r="G153" s="3" t="n"/>
      <c r="H153" s="3" t="n"/>
      <c r="I153" s="3" t="n"/>
      <c r="J153" s="3" t="n"/>
      <c r="K153" t="inlineStr">
        <is>
          <t>NO</t>
        </is>
      </c>
      <c r="L153" s="3" t="n"/>
    </row>
    <row r="154" ht="42" customHeight="1">
      <c r="A154" t="inlineStr">
        <is>
          <t>F153</t>
        </is>
      </c>
      <c r="B154" t="inlineStr">
        <is>
          <t>2025</t>
        </is>
      </c>
      <c r="C154" t="inlineStr">
        <is>
          <t>Arxiv_CS_2025</t>
        </is>
      </c>
      <c r="D154" t="inlineStr">
        <is>
          <t>2501.13946v1.pdf</t>
        </is>
      </c>
      <c r="E154" s="2" t="inlineStr">
        <is>
          <t>[18] Hannah Rashkin, Vitaly Nikolaev, Matthew Lamm, Lora Aroyo, Michael Collins, Dipanjan Das, Slav Petrov, Gaurav Singh Tomar, Iulia Turc, and David Reitter. Measuring attribution in natural language generation models. https://arxiv.org/abs/2112.12870, 2022.</t>
        </is>
      </c>
      <c r="F154">
        <f>HYPERLINK("https://scholar.google.com/scholar?q=%5B18%5D+Hannah+Rashkin%2C+Vitaly+Nikolaev%2C+Matthew+Lamm%2C+Lora+Aroyo%2C+Michael+Collins%2C+Dipanjan+Das%2C+Slav+Petrov%2C+Gaurav+Singh","search")</f>
        <v/>
      </c>
      <c r="G154" s="3" t="n"/>
      <c r="H154" s="3" t="n"/>
      <c r="I154" s="3" t="n"/>
      <c r="J154" s="3" t="n"/>
      <c r="K154" t="inlineStr">
        <is>
          <t>NO</t>
        </is>
      </c>
      <c r="L154" s="3" t="n"/>
    </row>
    <row r="155" ht="42" customHeight="1">
      <c r="A155" t="inlineStr">
        <is>
          <t>F154</t>
        </is>
      </c>
      <c r="B155" t="inlineStr">
        <is>
          <t>2025</t>
        </is>
      </c>
      <c r="C155" t="inlineStr">
        <is>
          <t>Arxiv_CS_2025</t>
        </is>
      </c>
      <c r="D155" t="inlineStr">
        <is>
          <t>2501.02471v2.pdf</t>
        </is>
      </c>
      <c r="E155" s="2" t="inlineStr">
        <is>
          <t>Sun-Shine: A Large Language Model for Tibetan Cul- ture. arXiv preprint arXiv:2503.18288. Huang, C.; Liu, Y.; Li, J.; Tian, H.; and Chen, H. 2023. Ap- plication of YOLOv5 for mask detection on IoT. Applied and Computational Engineering, 29: 1–11. Huang, C.; Shen, J.; Hu, B.; Ausaf Ali Haqqani, M.; Lee, T.; Kooner, K.; Zhang, N.; and Zhang, J. 2024a. Seman- tic and Visual Attention-Driven Multi-LSTM Network for Automated Clinical Report Generation. In AI for Health Equity and Fairness: Leveraging</t>
        </is>
      </c>
      <c r="F155">
        <f>HYPERLINK("https://scholar.google.com/scholar?q=Sun-Shine%3A+A+Large+Language+Model+for+Tibetan+Cul-+ture.+arXiv+preprint+arXiv%3A2503.18288.+Huang%2C+C.%3B+Liu%2C+Y.%3B+Li%2C+J.%3B+Ti","search")</f>
        <v/>
      </c>
      <c r="G155" s="3" t="n"/>
      <c r="H155" s="3" t="n"/>
      <c r="I155" s="3" t="n"/>
      <c r="J155" s="3" t="n"/>
      <c r="K155" t="inlineStr">
        <is>
          <t>YES</t>
        </is>
      </c>
      <c r="L155" s="3" t="n"/>
    </row>
    <row r="156" ht="42" customHeight="1">
      <c r="A156" t="inlineStr">
        <is>
          <t>F155</t>
        </is>
      </c>
      <c r="B156" t="inlineStr">
        <is>
          <t>2016</t>
        </is>
      </c>
      <c r="C156" t="inlineStr">
        <is>
          <t>Arxiv_CS_2016</t>
        </is>
      </c>
      <c r="D156" t="inlineStr">
        <is>
          <t>1604.05006v2.pdf</t>
        </is>
      </c>
      <c r="E156" s="2" t="inlineStr">
        <is>
          <t>If q |= q′ and D ∪Φ |= q then D ∪Φ |= q′.</t>
        </is>
      </c>
      <c r="F156">
        <f>HYPERLINK("https://scholar.google.com/scholar?q=If+q+%7C%3D+q%E2%80%B2+and+D+%E2%88%AA%CE%A6+%7C%3D+q+then+D+%E2%88%AA%CE%A6+%7C%3D+q%E2%80%B2.","search")</f>
        <v/>
      </c>
      <c r="G156" s="3" t="n"/>
      <c r="H156" s="3" t="n"/>
      <c r="I156" s="3" t="n"/>
      <c r="J156" s="3" t="n"/>
      <c r="K156" t="inlineStr">
        <is>
          <t>NO</t>
        </is>
      </c>
      <c r="L156" s="3" t="n"/>
    </row>
    <row r="157" ht="42" customHeight="1">
      <c r="A157" t="inlineStr">
        <is>
          <t>F156</t>
        </is>
      </c>
      <c r="B157" t="inlineStr">
        <is>
          <t>2023</t>
        </is>
      </c>
      <c r="C157" t="inlineStr">
        <is>
          <t>Arxiv_CS_2023</t>
        </is>
      </c>
      <c r="D157" t="inlineStr">
        <is>
          <t>2312.11779v3.pdf</t>
        </is>
      </c>
      <c r="E157" s="2" t="inlineStr">
        <is>
          <t>Mitigating gender bias in natural language processing: Literature review. Association for Com- putational Linguistics (ACL 2019). Zeerak Talat and Anne Lauscher. 2022. Back to the future: On potential histories in nlp. ArXiv, abs/2210.06245. Hugo Touvron, Louis Martin, Kevin Stone, Peter Al- bert, Amjad Almahairi, Yasmine Babaei, Nikolay Bashlykov, Soumya Batra, Prajjwal Bhargava, Shruti Bhosale, et al. 2023. Llama 2: Open founda- tion and fine-tuned chat models. arXiv preprint arXiv:2307.09288.</t>
        </is>
      </c>
      <c r="F157">
        <f>HYPERLINK("https://scholar.google.com/scholar?q=Mitigating+gender+bias+in+natural+language+processing%3A+Literature+review.+Association+for+Com-+putational+Linguistics+%28A","search")</f>
        <v/>
      </c>
      <c r="G157" s="3" t="n"/>
      <c r="H157" s="3" t="n"/>
      <c r="I157" s="3" t="n"/>
      <c r="J157" s="3" t="n"/>
      <c r="K157" t="inlineStr">
        <is>
          <t>NO</t>
        </is>
      </c>
      <c r="L157" s="3" t="n"/>
    </row>
    <row r="158" ht="42" customHeight="1">
      <c r="A158" t="inlineStr">
        <is>
          <t>F157</t>
        </is>
      </c>
      <c r="B158" t="inlineStr">
        <is>
          <t>2023</t>
        </is>
      </c>
      <c r="C158" t="inlineStr">
        <is>
          <t>Arxiv_Bio_2023</t>
        </is>
      </c>
      <c r="D158" t="inlineStr">
        <is>
          <t>2306.09186v1.pdf</t>
        </is>
      </c>
      <c r="E158" s="2" t="inlineStr">
        <is>
          <t>B. K. Øksendal and A. Sulem, Applied stochastic control of jump diffu- sions, vol. 498. Springer, 2007. 11  Supplementary Material A Equations for products of moments As mentioned in the main text, it is possible to derive moment equations for generic products of moments. Let us consider an m-ary product of moments F(Mγ1,...,Mγm) := Mγ1 ...Mγm. (A.1) Using Itô’s rule for counting processes [29], it is straightfor- ward to show that the expectation of this moment satisfies the differential equati</t>
        </is>
      </c>
      <c r="F158">
        <f>HYPERLINK("https://scholar.google.com/scholar?q=B.+K.+%C3%98ksendal+and+A.+Sulem%2C+Applied+stochastic+control+of+jump+diffu-+sions%2C+vol.+498.+Springer%2C+2007.+11++Supplementar","search")</f>
        <v/>
      </c>
      <c r="G158" s="3" t="n"/>
      <c r="H158" s="3" t="n"/>
      <c r="I158" s="3" t="n"/>
      <c r="J158" s="3" t="n"/>
      <c r="K158" t="inlineStr">
        <is>
          <t>YES</t>
        </is>
      </c>
      <c r="L158" s="3" t="n"/>
    </row>
    <row r="159" ht="42" customHeight="1">
      <c r="A159" t="inlineStr">
        <is>
          <t>F158</t>
        </is>
      </c>
      <c r="B159" t="inlineStr">
        <is>
          <t>2025</t>
        </is>
      </c>
      <c r="C159" t="inlineStr">
        <is>
          <t>Arxiv_CS_2025</t>
        </is>
      </c>
      <c r="D159" t="inlineStr">
        <is>
          <t>2501.08814v2.pdf</t>
        </is>
      </c>
      <c r="E159" s="2" t="inlineStr">
        <is>
          <t>DeepInception: Hypnotize Large Language Model to Be Jailbreaker. arXiv preprint arXiv:2311.03191. Mantri, K. S. I.; and Sasikumar, N. N. 2023. Developing Methods for Identifying and Removing Copyrighted Con- tent from Generative AI Models. In Proceedings of the 40 th International Conference on Machine Learning Workshop on Generative AI and Law. Mei, X.; Meng, C.; Liu, H.; Kong, Q.; Ko, T.; Zhao, C.; Plumbley, M. D.; Zou, Y.; and Wang, W. 2024. Wav- Caps: A ChatGPT-Assisted Weakly-Labelled Audio</t>
        </is>
      </c>
      <c r="F159">
        <f>HYPERLINK("https://scholar.google.com/scholar?q=DeepInception%3A+Hypnotize+Large+Language+Model+to+Be+Jailbreaker.+arXiv+preprint+arXiv%3A2311.03191.+Mantri%2C+K.+S.+I.%3B+and+","search")</f>
        <v/>
      </c>
      <c r="G159" s="3" t="n"/>
      <c r="H159" s="3" t="n"/>
      <c r="I159" s="3" t="n"/>
      <c r="J159" s="3" t="n"/>
      <c r="K159" t="inlineStr">
        <is>
          <t>NO</t>
        </is>
      </c>
      <c r="L159" s="3" t="n"/>
    </row>
    <row r="160" ht="42" customHeight="1">
      <c r="A160" t="inlineStr">
        <is>
          <t>F159</t>
        </is>
      </c>
      <c r="B160" t="inlineStr">
        <is>
          <t>2023</t>
        </is>
      </c>
      <c r="C160" t="inlineStr">
        <is>
          <t>NeurIPS_2023</t>
        </is>
      </c>
      <c r="D160" t="inlineStr">
        <is>
          <t>05fb0f4e645cad23e0ab59d6b9901428-Paper-Conference.pdf</t>
        </is>
      </c>
      <c r="E160" s="2" t="inlineStr">
        <is>
          <t>Marco Tulio Ribeiro, Tongshuang Wu, Carlos Guestrin, and Sameer Singh. Beyond accuracy: Behavioral testing of nlp models with checklist. In Proceedings of the 58th Annual Meeting of the Association for Computational Linguistics, pages 4902–4912, 2020.</t>
        </is>
      </c>
      <c r="F160">
        <f>HYPERLINK("https://scholar.google.com/scholar?q=Marco+Tulio+Ribeiro%2C+Tongshuang+Wu%2C+Carlos+Guestrin%2C+and+Sameer+Singh.+Beyond+accuracy%3A+Behavioral+testing+of+nlp+models","search")</f>
        <v/>
      </c>
      <c r="G160" s="3" t="n"/>
      <c r="H160" s="3" t="n"/>
      <c r="I160" s="3" t="n"/>
      <c r="J160" s="3" t="n"/>
      <c r="K160" t="inlineStr">
        <is>
          <t>NO</t>
        </is>
      </c>
      <c r="L160" s="3" t="n"/>
    </row>
    <row r="161" ht="42" customHeight="1">
      <c r="A161" t="inlineStr">
        <is>
          <t>F160</t>
        </is>
      </c>
      <c r="B161" t="inlineStr">
        <is>
          <t>2023</t>
        </is>
      </c>
      <c r="C161" t="inlineStr">
        <is>
          <t>Arxiv_Bio_2023</t>
        </is>
      </c>
      <c r="D161" t="inlineStr">
        <is>
          <t>2311.07448v1.pdf</t>
        </is>
      </c>
      <c r="E161" s="2" t="inlineStr">
        <is>
          <t>van der Lee R., Buljan M., Lang B., Weatheritt R.J., Daughdrill G.W., Dunker A.K. et al (2014) Classification of intrinsically disordered regions and proteins. Chem. Rev. 114, 6589–6631. https://doi.org/10.1021/cr400525m 2 Pushker R., Mooney C., Davey N.E., Jacque J.M., and Shields D.C. (2013) Marked variability in the extent of protein disorder within and between viral families. PLoS One. 8, e60724. https://doi.org/10.1371/journal.pone.0060724 3 Davey N.E., Van Roey K., Weatheritt R.J., Toedt G</t>
        </is>
      </c>
      <c r="F161">
        <f>HYPERLINK("https://scholar.google.com/scholar?q=van+der+Lee+R.%2C+Buljan+M.%2C+Lang+B.%2C+Weatheritt+R.J.%2C+Daughdrill+G.W.%2C+Dunker+A.K.+et+al+%282014%29+Classification+of+intrins","search")</f>
        <v/>
      </c>
      <c r="G161" s="3" t="n"/>
      <c r="H161" s="3" t="n"/>
      <c r="I161" s="3" t="n"/>
      <c r="J161" s="3" t="n"/>
      <c r="K161" t="inlineStr">
        <is>
          <t>NO</t>
        </is>
      </c>
      <c r="L161" s="3" t="n"/>
    </row>
    <row r="162" ht="42" customHeight="1">
      <c r="A162" t="inlineStr">
        <is>
          <t>F161</t>
        </is>
      </c>
      <c r="B162" t="inlineStr">
        <is>
          <t>2025</t>
        </is>
      </c>
      <c r="C162" t="inlineStr">
        <is>
          <t>Arxiv_CS_2025</t>
        </is>
      </c>
      <c r="D162" t="inlineStr">
        <is>
          <t>2501.17411v1.pdf</t>
        </is>
      </c>
      <c r="E162" s="2" t="inlineStr">
        <is>
          <t>Y. Liu, Y. Sun, B. Xue, M. Zhang, G. G. Yen, and K. C. Tan, “A survey on evolutionary neural architecture search,” IEEE transactions on neural networks and learning systems, vol. 34, no. 2, pp. 550–570, 2021.</t>
        </is>
      </c>
      <c r="F162">
        <f>HYPERLINK("https://scholar.google.com/scholar?q=Y.+Liu%2C+Y.+Sun%2C+B.+Xue%2C+M.+Zhang%2C+G.+G.+Yen%2C+and+K.+C.+Tan%2C+%E2%80%9CA+survey+on+evolutionary+neural+architecture+search%2C%E2%80%9D+IEEE+","search")</f>
        <v/>
      </c>
      <c r="G162" s="3" t="n"/>
      <c r="H162" s="3" t="n"/>
      <c r="I162" s="3" t="n"/>
      <c r="J162" s="3" t="n"/>
      <c r="K162" t="inlineStr">
        <is>
          <t>NO</t>
        </is>
      </c>
      <c r="L162" s="3" t="n"/>
    </row>
    <row r="163" ht="42" customHeight="1">
      <c r="A163" t="inlineStr">
        <is>
          <t>F162</t>
        </is>
      </c>
      <c r="B163" t="inlineStr">
        <is>
          <t>2026</t>
        </is>
      </c>
      <c r="C163" t="inlineStr">
        <is>
          <t>Arxiv_General_Latest</t>
        </is>
      </c>
      <c r="D163" t="inlineStr">
        <is>
          <t>2605.10465v1.pdf</t>
        </is>
      </c>
      <c r="E163" s="2" t="inlineStr">
        <is>
          <t xml:space="preserve">1S. Mordijck, “Overview of density pedestal structure: role of fueling versus transport”, Nuclear Fusion 60, 082006 (2020). 2E. Doyle, W. Houlberg, Y. Kamada, V. Mukhovatov, T. Osborne, A. Polevoi, G. Bateman, J. Connor, J. Cordey, T. Fujita, X. Garbet, T. Hahm, L. Horton, A. Hubbard, F. Imbeaux, F. Jenko, J. Kinsey, Y. Kishi- moto, J. Li, T. Luce, Y. Martin, M. Ossipenko, V. Parail, A. Peeters, T. Rhodes, J. Rice, C. Roach, V. Rozhansky, F. Ryter, G. Saibene, R. Sartori, A. Sips, J. Snipes, M. </t>
        </is>
      </c>
      <c r="F163">
        <f>HYPERLINK("https://scholar.google.com/scholar?q=1S.+Mordijck%2C+%E2%80%9COverview+of+density+pedestal+structure%3A+role+of+fueling+versus+transport%E2%80%9D%2C+Nuclear+Fusion+60%2C+082006+%28202","search")</f>
        <v/>
      </c>
      <c r="G163" s="3" t="n"/>
      <c r="H163" s="3" t="n"/>
      <c r="I163" s="3" t="n"/>
      <c r="J163" s="3" t="n"/>
      <c r="K163" t="inlineStr">
        <is>
          <t>NO</t>
        </is>
      </c>
      <c r="L163" s="3" t="n"/>
    </row>
    <row r="164" ht="42" customHeight="1">
      <c r="A164" t="inlineStr">
        <is>
          <t>F163</t>
        </is>
      </c>
      <c r="B164" t="inlineStr">
        <is>
          <t>2023</t>
        </is>
      </c>
      <c r="C164" t="inlineStr">
        <is>
          <t>NeurIPS_2023</t>
        </is>
      </c>
      <c r="D164" t="inlineStr">
        <is>
          <t>098491b37deebbe6c007e69815729e09-Paper-Conference.pdf</t>
        </is>
      </c>
      <c r="E164" s="2" t="inlineStr">
        <is>
          <t>Gunnar A Sigurdsson, Gül Varol, Xiaolong Wang, Ali Farhadi, Ivan Laptev, and Abhinav Gupta. Hollywood in homes: Crowdsourcing data collection for activity understanding. In Computer Vision–ECCV 2016: 14th European Conference, Amsterdam, The Netherlands, October 11–14, 2016, Proceedings, Part I 14, pages 510–526. Springer, 2016. 4</t>
        </is>
      </c>
      <c r="F164">
        <f>HYPERLINK("https://scholar.google.com/scholar?q=Gunnar+A+Sigurdsson%2C+G%C3%BCl+Varol%2C+Xiaolong+Wang%2C+Ali+Farhadi%2C+Ivan+Laptev%2C+and+Abhinav+Gupta.+Hollywood+in+homes%3A+Crowdsou","search")</f>
        <v/>
      </c>
      <c r="G164" s="3" t="n"/>
      <c r="H164" s="3" t="n"/>
      <c r="I164" s="3" t="n"/>
      <c r="J164" s="3" t="n"/>
      <c r="K164" t="inlineStr">
        <is>
          <t>NO</t>
        </is>
      </c>
      <c r="L164" s="3" t="n"/>
    </row>
    <row r="165" ht="42" customHeight="1">
      <c r="A165" t="inlineStr">
        <is>
          <t>F164</t>
        </is>
      </c>
      <c r="B165" t="inlineStr">
        <is>
          <t>2023</t>
        </is>
      </c>
      <c r="C165" t="inlineStr">
        <is>
          <t>NeurIPS_2023</t>
        </is>
      </c>
      <c r="D165" t="inlineStr">
        <is>
          <t>08f9de0232c0b485110237f6e6cf88f1-Paper-Conference.pdf</t>
        </is>
      </c>
      <c r="E165" s="2" t="inlineStr">
        <is>
          <t xml:space="preserve">X. Zhang, J. Clune, and K. O. Stanley. On the relationship between the openai evolution strategy and stochastic gradient descent, 2017. H. Zhou, J. Lan, R. Liu, and J. Yosinski. Deconstructing lottery tickets: Zeros, signs, and the supermask. CoRR, abs/1905.01067, 2019. URL http://arxiv.org/abs/1905.01067. 13  A Acknowledgement This work was supported by the National Key Research and Development Program of China (grant 2021ZD0200301). B Comparing EC and NES X = 0 X = 1 Y = 0 Y = 1 N = 12 N = 31 </t>
        </is>
      </c>
      <c r="F165">
        <f>HYPERLINK("https://scholar.google.com/scholar?q=X.+Zhang%2C+J.+Clune%2C+and+K.+O.+Stanley.+On+the+relationship+between+the+openai+evolution+strategy+and+stochastic+gradient","search")</f>
        <v/>
      </c>
      <c r="G165" s="3" t="n"/>
      <c r="H165" s="3" t="n"/>
      <c r="I165" s="3" t="n"/>
      <c r="J165" s="3" t="n"/>
      <c r="K165" t="inlineStr">
        <is>
          <t>NO</t>
        </is>
      </c>
      <c r="L165" s="3" t="n"/>
    </row>
    <row r="166" ht="42" customHeight="1">
      <c r="A166" t="inlineStr">
        <is>
          <t>F165</t>
        </is>
      </c>
      <c r="B166" t="inlineStr">
        <is>
          <t>2016</t>
        </is>
      </c>
      <c r="C166" t="inlineStr">
        <is>
          <t>NeurIPS_2016</t>
        </is>
      </c>
      <c r="D166" t="inlineStr">
        <is>
          <t>07563a3fe3bbe7e3ba84431ad9d055af-Paper.pdf</t>
        </is>
      </c>
      <c r="E166" s="2" t="inlineStr">
        <is>
          <t>G. Kuhlmann, P. Stone, R. Mooney, and J. Shavlik. Guiding a reinforcement learner with natural language advice: Initial results in robocup soccer. In AAAI-2004 workshop on supervisory control, 2004.</t>
        </is>
      </c>
      <c r="F166">
        <f>HYPERLINK("https://scholar.google.com/scholar?q=G.+Kuhlmann%2C+P.+Stone%2C+R.+Mooney%2C+and+J.+Shavlik.+Guiding+a+reinforcement+learner+with+natural+language+advice%3A+Initial+","search")</f>
        <v/>
      </c>
      <c r="G166" s="3" t="n"/>
      <c r="H166" s="3" t="n"/>
      <c r="I166" s="3" t="n"/>
      <c r="J166" s="3" t="n"/>
      <c r="K166" t="inlineStr">
        <is>
          <t>NO</t>
        </is>
      </c>
      <c r="L166" s="3" t="n"/>
    </row>
    <row r="167" ht="42" customHeight="1">
      <c r="A167" t="inlineStr">
        <is>
          <t>F166</t>
        </is>
      </c>
      <c r="B167" t="inlineStr">
        <is>
          <t>2016</t>
        </is>
      </c>
      <c r="C167" t="inlineStr">
        <is>
          <t>NeurIPS_2016</t>
        </is>
      </c>
      <c r="D167" t="inlineStr">
        <is>
          <t>06409663226af2f3114485aa4e0a23b4-Paper.pdf</t>
        </is>
      </c>
      <c r="E167" s="2" t="inlineStr">
        <is>
          <t>O. Russakovsky, J. Deng, H. Su, J. Krause, S. Satheesh, S. Ma, S. Huang, A. Karpathy, A. Khosla, M. Bernstein, A.C. Berg, and F.F. Li. Imagenet large scale visual recognition challenge. IJCV, 2015.</t>
        </is>
      </c>
      <c r="F167">
        <f>HYPERLINK("https://scholar.google.com/scholar?q=O.+Russakovsky%2C+J.+Deng%2C+H.+Su%2C+J.+Krause%2C+S.+Satheesh%2C+S.+Ma%2C+S.+Huang%2C+A.+Karpathy%2C+A.+Khosla%2C+M.+Bernstein%2C+A.C.+Berg","search")</f>
        <v/>
      </c>
      <c r="G167" s="3" t="n"/>
      <c r="H167" s="3" t="n"/>
      <c r="I167" s="3" t="n"/>
      <c r="J167" s="3" t="n"/>
      <c r="K167" t="inlineStr">
        <is>
          <t>NO</t>
        </is>
      </c>
      <c r="L167" s="3" t="n"/>
    </row>
    <row r="168" ht="42" customHeight="1">
      <c r="A168" t="inlineStr">
        <is>
          <t>F167</t>
        </is>
      </c>
      <c r="B168" t="inlineStr">
        <is>
          <t>2016</t>
        </is>
      </c>
      <c r="C168" t="inlineStr">
        <is>
          <t>NeurIPS_2016</t>
        </is>
      </c>
      <c r="D168" t="inlineStr">
        <is>
          <t>0a0a0c8aaa00ade50f74a3f0ca981ed7-Paper.pdf</t>
        </is>
      </c>
      <c r="E168" s="2" t="inlineStr">
        <is>
          <t>O. J. Dunn. Estimation of the medians for dependent variables. Ann. Math. Statist., 30(1):192–197, 03</t>
        </is>
      </c>
      <c r="F168">
        <f>HYPERLINK("https://scholar.google.com/scholar?q=O.+J.+Dunn.+Estimation+of+the+medians+for+dependent+variables.+Ann.+Math.+Statist.%2C+30%281%29%3A192%E2%80%93197%2C+03","search")</f>
        <v/>
      </c>
      <c r="G168" s="3" t="n"/>
      <c r="H168" s="3" t="n"/>
      <c r="I168" s="3" t="n"/>
      <c r="J168" s="3" t="n"/>
      <c r="K168" t="inlineStr">
        <is>
          <t>NO</t>
        </is>
      </c>
      <c r="L168" s="3" t="n"/>
    </row>
    <row r="169" ht="42" customHeight="1">
      <c r="A169" t="inlineStr">
        <is>
          <t>F168</t>
        </is>
      </c>
      <c r="B169" t="inlineStr">
        <is>
          <t>2016</t>
        </is>
      </c>
      <c r="C169" t="inlineStr">
        <is>
          <t>NeurIPS_2016</t>
        </is>
      </c>
      <c r="D169" t="inlineStr">
        <is>
          <t>0deb1c54814305ca9ad266f53bc82511-Paper.pdf</t>
        </is>
      </c>
      <c r="E169" s="2" t="inlineStr">
        <is>
          <t>S. Song, S. P. Lichtenberg, and J. Xiao, “Sun rgb-d: A rgb-d scene understanding benchmark suite,” in CVPR, 2015.</t>
        </is>
      </c>
      <c r="F169">
        <f>HYPERLINK("https://scholar.google.com/scholar?q=S.+Song%2C+S.+P.+Lichtenberg%2C+and+J.+Xiao%2C+%E2%80%9CSun+rgb-d%3A+A+rgb-d+scene+understanding+benchmark+suite%2C%E2%80%9D+in+CVPR%2C+2015.","search")</f>
        <v/>
      </c>
      <c r="G169" s="3" t="n"/>
      <c r="H169" s="3" t="n"/>
      <c r="I169" s="3" t="n"/>
      <c r="J169" s="3" t="n"/>
      <c r="K169" t="inlineStr">
        <is>
          <t>NO</t>
        </is>
      </c>
      <c r="L169" s="3" t="n"/>
    </row>
    <row r="170" ht="42" customHeight="1">
      <c r="A170" t="inlineStr">
        <is>
          <t>F169</t>
        </is>
      </c>
      <c r="B170" t="inlineStr">
        <is>
          <t>2023</t>
        </is>
      </c>
      <c r="C170" t="inlineStr">
        <is>
          <t>NeurIPS_2023</t>
        </is>
      </c>
      <c r="D170" t="inlineStr">
        <is>
          <t>0973524e02a712af33325d0688ae6f49-Paper-Conference.pdf</t>
        </is>
      </c>
      <c r="E170" s="2" t="inlineStr">
        <is>
          <t>Yuhuai Wu, Markus N. Rabe, DeLesley Hutchins, and Christian Szegedy. Memorizing transformers, 2022. 12  A Appendix A.1 Proof of Theorem 3.1 We may expand our expectation as follows: L(r′, r, Q) = Eq∈Q  w  ⟨q, r⟩ ∥r∥· ∥q∥  ⟨q, r′⟩2  = Z π 0 w(cos θ)Eq∈Q  ⟨q, r′⟩2 | ⟨q, r⟩ ∥r∥· ∥q∥= cos θ  dP  ⟨q, r⟩ ∥r∥· ∥q∥&lt; cos θ  . To evaluate this integral, ﬁrst decompose q and r′ into components parallel and orthogonal to r; let us call these components q∥, q⊥, r′ ∥, and r′ ⊥, respectively. This allo</t>
        </is>
      </c>
      <c r="F170">
        <f>HYPERLINK("https://scholar.google.com/scholar?q=Yuhuai+Wu%2C+Markus+N.+Rabe%2C+DeLesley+Hutchins%2C+and+Christian+Szegedy.+Memorizing+transformers%2C+2022.+12++A+Appendix+A.1+P","search")</f>
        <v/>
      </c>
      <c r="G170" s="3" t="n"/>
      <c r="H170" s="3" t="n"/>
      <c r="I170" s="3" t="n"/>
      <c r="J170" s="3" t="n"/>
      <c r="K170" t="inlineStr">
        <is>
          <t>NO</t>
        </is>
      </c>
      <c r="L170" s="3" t="n"/>
    </row>
    <row r="171" ht="42" customHeight="1">
      <c r="A171" t="inlineStr">
        <is>
          <t>F170</t>
        </is>
      </c>
      <c r="B171" t="inlineStr">
        <is>
          <t>2023</t>
        </is>
      </c>
      <c r="C171" t="inlineStr">
        <is>
          <t>NeurIPS_2023</t>
        </is>
      </c>
      <c r="D171" t="inlineStr">
        <is>
          <t>020ad0ac6a1974e6748e4a5a48110a07-Paper-Conference.pdf</t>
        </is>
      </c>
      <c r="E171" s="2" t="inlineStr">
        <is>
          <t>Association for Computational Linguistics. doi: 10.18653/v1/2020.acl-main.385. URL https://aclanthology.org/2020.acl-main.385. E. G. Altmann, J. B. Pierrehumbert, and A. E. Motter. Beyond word frequency: Bursts, lulls, and scaling in the temporal distributions of words. PLOS ONE, 4(11):1–7, 11 2009. doi: 10.1371/ journal.pone.0007678. URL https://doi.org/10.1371/journal.pone.0007678. D. Amodei, R. Anubhai, E. Battenberg, C. Case, J. Casper, B. Catanzaro, J. Chen, M. Chrzanowski, A. Coates, G. Di</t>
        </is>
      </c>
      <c r="F171">
        <f>HYPERLINK("https://scholar.google.com/scholar?q=Association+for+Computational+Linguistics.+doi%3A+10.18653%2Fv1%2F2020.acl-main.385.+URL+https%3A%2F%2Faclanthology.org%2F2020.acl-mai","search")</f>
        <v/>
      </c>
      <c r="G171" s="3" t="n"/>
      <c r="H171" s="3" t="n"/>
      <c r="I171" s="3" t="n"/>
      <c r="J171" s="3" t="n"/>
      <c r="K171" t="inlineStr">
        <is>
          <t>NO</t>
        </is>
      </c>
      <c r="L171" s="3" t="n"/>
    </row>
    <row r="172" ht="42" customHeight="1">
      <c r="A172" t="inlineStr">
        <is>
          <t>F171</t>
        </is>
      </c>
      <c r="B172" t="inlineStr">
        <is>
          <t>2016</t>
        </is>
      </c>
      <c r="C172" t="inlineStr">
        <is>
          <t>NeurIPS_2016</t>
        </is>
      </c>
      <c r="D172" t="inlineStr">
        <is>
          <t>0245952ecff55018e2a459517fdb40e3-Paper.pdf</t>
        </is>
      </c>
      <c r="E172" s="2" t="inlineStr">
        <is>
          <t>Y. Li, K. Swersky, and R. Zemel. Generative moment matching networks. ICML, 2015.</t>
        </is>
      </c>
      <c r="F172">
        <f>HYPERLINK("https://scholar.google.com/scholar?q=Y.+Li%2C+K.+Swersky%2C+and+R.+Zemel.+Generative+moment+matching+networks.+ICML%2C+2015.","search")</f>
        <v/>
      </c>
      <c r="G172" s="3" t="n"/>
      <c r="H172" s="3" t="n"/>
      <c r="I172" s="3" t="n"/>
      <c r="J172" s="3" t="n"/>
      <c r="K172" t="inlineStr">
        <is>
          <t>NO</t>
        </is>
      </c>
      <c r="L172" s="3" t="n"/>
    </row>
    <row r="173" ht="42" customHeight="1">
      <c r="A173" t="inlineStr">
        <is>
          <t>F172</t>
        </is>
      </c>
      <c r="B173" t="inlineStr">
        <is>
          <t>2025</t>
        </is>
      </c>
      <c r="C173" t="inlineStr">
        <is>
          <t>Arxiv_CS_2025</t>
        </is>
      </c>
      <c r="D173" t="inlineStr">
        <is>
          <t>2501.06389v1.pdf</t>
        </is>
      </c>
      <c r="E173" s="2" t="inlineStr">
        <is>
          <t>Krzywda M., Lukasik S., Gandomi A.H. Graph Neural  Networks in Computer Vision - Architectures, Datasets and  Common Approaches. 2022 International Joint Conference on  Neural Networks (IJCNN), 1-10.</t>
        </is>
      </c>
      <c r="F173">
        <f>HYPERLINK("https://scholar.google.com/scholar?q=Krzywda+M.%2C+Lukasik+S.%2C+Gandomi+A.H.+Graph+Neural++Networks+in+Computer+Vision+-+Architectures%2C+Datasets+and++Common+App","search")</f>
        <v/>
      </c>
      <c r="G173" s="3" t="n"/>
      <c r="H173" s="3" t="n"/>
      <c r="I173" s="3" t="n"/>
      <c r="J173" s="3" t="n"/>
      <c r="K173" t="inlineStr">
        <is>
          <t>NO</t>
        </is>
      </c>
      <c r="L173" s="3" t="n"/>
    </row>
    <row r="174" ht="42" customHeight="1">
      <c r="A174" t="inlineStr">
        <is>
          <t>F173</t>
        </is>
      </c>
      <c r="B174" t="inlineStr">
        <is>
          <t>2016</t>
        </is>
      </c>
      <c r="C174" t="inlineStr">
        <is>
          <t>NeurIPS_2016</t>
        </is>
      </c>
      <c r="D174" t="inlineStr">
        <is>
          <t>1aa48fc4880bb0c9b8a3bf979d3b917e-Paper.pdf</t>
        </is>
      </c>
      <c r="E174" s="2" t="inlineStr">
        <is>
          <t>M. Schmidt, R. Babanezhad, M.O. Ahmed, A. Defazio, A. Clifton, and A. Sarkar. Non-uniform stochastic average gradient method for training conditional random ﬁelds. In Proc. AISTATS, 2015.</t>
        </is>
      </c>
      <c r="F174">
        <f>HYPERLINK("https://scholar.google.com/scholar?q=M.+Schmidt%2C+R.+Babanezhad%2C+M.O.+Ahmed%2C+A.+Defazio%2C+A.+Clifton%2C+and+A.+Sarkar.+Non-uniform+stochastic+average+gradient+me","search")</f>
        <v/>
      </c>
      <c r="G174" s="3" t="n"/>
      <c r="H174" s="3" t="n"/>
      <c r="I174" s="3" t="n"/>
      <c r="J174" s="3" t="n"/>
      <c r="K174" t="inlineStr">
        <is>
          <t>NO</t>
        </is>
      </c>
      <c r="L174" s="3" t="n"/>
    </row>
    <row r="175" ht="42" customHeight="1">
      <c r="A175" t="inlineStr">
        <is>
          <t>F174</t>
        </is>
      </c>
      <c r="B175" t="inlineStr">
        <is>
          <t>2025</t>
        </is>
      </c>
      <c r="C175" t="inlineStr">
        <is>
          <t>Arxiv_CS_2025</t>
        </is>
      </c>
      <c r="D175" t="inlineStr">
        <is>
          <t>2501.14304v2.pdf</t>
        </is>
      </c>
      <c r="E175" s="2" t="inlineStr">
        <is>
          <t>The rise and potential of large language model based agents: A survey. Preprint, arXiv:2309.07864. Zhilin Yang, Peng Qi, Saizheng Zhang, Yoshua Bengio, William Cohen, Ruslan Salakhutdinov, and Christo- pher D. Manning. 2018. HotpotQA: A dataset for diverse, explainable multi-hop question answering. In Proceedings of the 2018 Conference on Empiri- cal Methods in Natural Language Processing, pages 2369–2380, Brussels, Belgium. Association for Com- putational Linguistics. Shunyu Yao, Howard Chen, J</t>
        </is>
      </c>
      <c r="F175">
        <f>HYPERLINK("https://scholar.google.com/scholar?q=The+rise+and+potential+of+large+language+model+based+agents%3A+A+survey.+Preprint%2C+arXiv%3A2309.07864.+Zhilin+Yang%2C+Peng+Qi%2C","search")</f>
        <v/>
      </c>
      <c r="G175" s="3" t="n"/>
      <c r="H175" s="3" t="n"/>
      <c r="I175" s="3" t="n"/>
      <c r="J175" s="3" t="n"/>
      <c r="K175" t="inlineStr">
        <is>
          <t>YES</t>
        </is>
      </c>
      <c r="L175" s="3" t="n"/>
    </row>
    <row r="176" ht="42" customHeight="1">
      <c r="A176" t="inlineStr">
        <is>
          <t>F175</t>
        </is>
      </c>
      <c r="B176" t="inlineStr">
        <is>
          <t>2023</t>
        </is>
      </c>
      <c r="C176" t="inlineStr">
        <is>
          <t>NeurIPS_2023</t>
        </is>
      </c>
      <c r="D176" t="inlineStr">
        <is>
          <t>0b06c8673ebb453e5e468f7743d8f54e-Paper-Conference.pdf</t>
        </is>
      </c>
      <c r="E176" s="2" t="inlineStr">
        <is>
          <t>Mikhail Galkin, Etienne Denis, Jiapeng Wu, and William L. Hamilton. Nodepiece: Composi- tional and parameter-efficient representations of large knowledge graphs, 2022. 12  A Proof of Theorem 1 and 2 Theorem 1 Single-source edge-wise GNN can learn rule-induced subgraph representation if ⊎= +, ⊕= +, ⋄= +, ⊗1 = ×, ⊗2 = ×. i.e., there exists nonzero αi,j such that ek u,rt,v = k X i=1 X (u,rt,v) X (v,y0,x0) ... X (xi−3,yi−2,u) | {z } i αi1rrt × αi2ry0 × ... × αiiryi−2 (15) Proof In this case, the rul</t>
        </is>
      </c>
      <c r="F176">
        <f>HYPERLINK("https://scholar.google.com/scholar?q=Mikhail+Galkin%2C+Etienne+Denis%2C+Jiapeng+Wu%2C+and+William+L.+Hamilton.+Nodepiece%3A+Composi-+tional+and+parameter-efficient+r","search")</f>
        <v/>
      </c>
      <c r="G176" s="3" t="n"/>
      <c r="H176" s="3" t="n"/>
      <c r="I176" s="3" t="n"/>
      <c r="J176" s="3" t="n"/>
      <c r="K176" t="inlineStr">
        <is>
          <t>YES</t>
        </is>
      </c>
      <c r="L176" s="3" t="n"/>
    </row>
    <row r="177" ht="42" customHeight="1">
      <c r="A177" t="inlineStr">
        <is>
          <t>F176</t>
        </is>
      </c>
      <c r="B177" t="inlineStr">
        <is>
          <t>2023</t>
        </is>
      </c>
      <c r="C177" t="inlineStr">
        <is>
          <t>Arxiv_CS_2023</t>
        </is>
      </c>
      <c r="D177" t="inlineStr">
        <is>
          <t>2312.12299v1.pdf</t>
        </is>
      </c>
      <c r="E177" s="2" t="inlineStr">
        <is>
          <t xml:space="preserve">Rohan Taori, Ishaan Gulrajani, Tianyi Zhang, Yann Dubois, Xuechen Li, Carlos Guestrin, Percy Liang, and Tatsunori B. Hashimoto. 2023. Stanford alpaca: An instruction-following llama model. https:// github.com/tatsu-lab/stanford_alpaca. Hugo Touvron, Thibaut Lavril, Gautier Izacard, Xavier Martinet, Marie-Anne Lachaux, Timothée Lacroix, Baptiste Rozière, Naman Goyal, Eric Hambro, Faisal Azhar, Aurelien Rodriguez, Armand Joulin, Edouard Grave, and Guillaume Lample. 2023. Llama: Open and efficient </t>
        </is>
      </c>
      <c r="F177">
        <f>HYPERLINK("https://scholar.google.com/scholar?q=Rohan+Taori%2C+Ishaan+Gulrajani%2C+Tianyi+Zhang%2C+Yann+Dubois%2C+Xuechen+Li%2C+Carlos+Guestrin%2C+Percy+Liang%2C+and+Tatsunori+B.+Has","search")</f>
        <v/>
      </c>
      <c r="G177" s="3" t="n"/>
      <c r="H177" s="3" t="n"/>
      <c r="I177" s="3" t="n"/>
      <c r="J177" s="3" t="n"/>
      <c r="K177" t="inlineStr">
        <is>
          <t>YES</t>
        </is>
      </c>
      <c r="L177" s="3" t="n"/>
    </row>
    <row r="178" ht="42" customHeight="1">
      <c r="A178" t="inlineStr">
        <is>
          <t>F177</t>
        </is>
      </c>
      <c r="B178" t="inlineStr">
        <is>
          <t>2023</t>
        </is>
      </c>
      <c r="C178" t="inlineStr">
        <is>
          <t>Arxiv_CS_2023</t>
        </is>
      </c>
      <c r="D178" t="inlineStr">
        <is>
          <t>2310.12008v1.pdf</t>
        </is>
      </c>
      <c r="E178" s="2" t="inlineStr">
        <is>
          <t>From discrimination to generation: Knowl- edge graph completion with generative transformer. In Companion of The Web Conference, WWW 2022, Virtual Event / Lyon, France, April 25-29, 2022, pages 162–165. ACM. Yu Zhao, Anxiang Zhang, Ruobing Xie, Kang Liu, and Xiaojie Wang. 2020. Connecting embeddings for knowledge graph entity typing. In Proceedings of the 58th Annual Meeting of the Association for Com- putational Linguistics, ACL 2020, Online, July 5-10, 2020, pages 6419–6428. Association for Co</t>
        </is>
      </c>
      <c r="F178">
        <f>HYPERLINK("https://scholar.google.com/scholar?q=From+discrimination+to+generation%3A+Knowl-+edge+graph+completion+with+generative+transformer.+In+Companion+of+The+Web+Con","search")</f>
        <v/>
      </c>
      <c r="G178" s="3" t="n"/>
      <c r="H178" s="3" t="n"/>
      <c r="I178" s="3" t="n"/>
      <c r="J178" s="3" t="n"/>
      <c r="K178" t="inlineStr">
        <is>
          <t>YES</t>
        </is>
      </c>
      <c r="L178" s="3" t="n"/>
    </row>
    <row r="179" ht="42" customHeight="1">
      <c r="A179" t="inlineStr">
        <is>
          <t>F178</t>
        </is>
      </c>
      <c r="B179" t="inlineStr">
        <is>
          <t>2016</t>
        </is>
      </c>
      <c r="C179" t="inlineStr">
        <is>
          <t>NeurIPS_2016</t>
        </is>
      </c>
      <c r="D179" t="inlineStr">
        <is>
          <t>07811dc6c422334ce36a09ff5cd6fe71-Paper.pdf</t>
        </is>
      </c>
      <c r="E179" s="2" t="inlineStr">
        <is>
          <t>S. Honari, J. Yosinski, P. Vincent, and C. Pal. Recombinator networks: Learning coarse-to-ﬁne feature aggregation. In CVPR, 2016.</t>
        </is>
      </c>
      <c r="F179">
        <f>HYPERLINK("https://scholar.google.com/scholar?q=S.+Honari%2C+J.+Yosinski%2C+P.+Vincent%2C+and+C.+Pal.+Recombinator+networks%3A+Learning+coarse-to-%EF%AC%81ne+feature+aggregation.+In+CV","search")</f>
        <v/>
      </c>
      <c r="G179" s="3" t="n"/>
      <c r="H179" s="3" t="n"/>
      <c r="I179" s="3" t="n"/>
      <c r="J179" s="3" t="n"/>
      <c r="K179" t="inlineStr">
        <is>
          <t>NO</t>
        </is>
      </c>
      <c r="L179" s="3" t="n"/>
    </row>
    <row r="180" ht="42" customHeight="1">
      <c r="A180" t="inlineStr">
        <is>
          <t>F179</t>
        </is>
      </c>
      <c r="B180" t="inlineStr">
        <is>
          <t>2026</t>
        </is>
      </c>
      <c r="C180" t="inlineStr">
        <is>
          <t>Arxiv_General_Latest</t>
        </is>
      </c>
      <c r="D180" t="inlineStr">
        <is>
          <t>2603.01978v1.pdf</t>
        </is>
      </c>
      <c r="E180" s="2" t="inlineStr">
        <is>
          <t>Aguena, M., Benoist, C., da Costa, L. N., et al. 2021, MNRAS, 502, 4435 Agustsson, I. &amp; Brainerd, T. G. 2006, The Astrophysical Journal, 644, L25 Akeson, R., Armus, L., Bachelet, E., et al. 2019, arXiv e-prints, arXiv:1902.05569 Avila-Reese, V., Col´ın, P., Gonz´alez-Samaniego, A., et al. 2011, ApJ, 736, 134 Behroozi, P., Wechsler, R. H., Hearin, A. P., &amp; Conroy, C. 2019, MN- RAS, 488, 3143 Ben´ıtez, N. 2011, BPZ: Bayesian Photometric Redshift Code, Astro- physics Source Code Library, record asc</t>
        </is>
      </c>
      <c r="F180">
        <f>HYPERLINK("https://scholar.google.com/scholar?q=Aguena%2C+M.%2C+Benoist%2C+C.%2C+da+Costa%2C+L.+N.%2C+et+al.+2021%2C+MNRAS%2C+502%2C+4435+Agustsson%2C+I.+%26+Brainerd%2C+T.+G.+2006%2C+The+Astrop","search")</f>
        <v/>
      </c>
      <c r="G180" s="3" t="n"/>
      <c r="H180" s="3" t="n"/>
      <c r="I180" s="3" t="n"/>
      <c r="J180" s="3" t="n"/>
      <c r="K180" t="inlineStr">
        <is>
          <t>NO</t>
        </is>
      </c>
      <c r="L180" s="3" t="n"/>
    </row>
    <row r="181" ht="42" customHeight="1">
      <c r="A181" t="inlineStr">
        <is>
          <t>F180</t>
        </is>
      </c>
      <c r="B181" t="inlineStr">
        <is>
          <t>2023</t>
        </is>
      </c>
      <c r="C181" t="inlineStr">
        <is>
          <t>Arxiv_Bio_2023</t>
        </is>
      </c>
      <c r="D181" t="inlineStr">
        <is>
          <t>2310.16004v1.pdf</t>
        </is>
      </c>
      <c r="E181" s="2" t="inlineStr">
        <is>
          <t>https://doi.org/10.1111/mec.12725  Lüdecke, D., Ben-Shachar, M. S., Patil, I., Waggoner, P., &amp; Makowski, D. (2021). performance:  An R Package for Assessment, Comparison and Testing of Statistical Models. Journal of  Open Source Software, 6(60), 3139. https://doi.org/10.21105/joss.03139  Luu, K., Bazin, E., &amp; Blum, M. G. B. (2017). pcadapt: an R package to perform genome scans  for selection based on principal component analysis. Molecular Ecology Resources, 17(1),  67–77. https://doi.org/10.111</t>
        </is>
      </c>
      <c r="F181">
        <f>HYPERLINK("https://scholar.google.com/scholar?q=https%3A%2F%2Fdoi.org%2F10.1111%2Fmec.12725++L%C3%BCdecke%2C+D.%2C+Ben-Shachar%2C+M.+S.%2C+Patil%2C+I.%2C+Waggoner%2C+P.%2C+%26+Makowski%2C+D.+%282021%29.+perf","search")</f>
        <v/>
      </c>
      <c r="G181" s="3" t="n"/>
      <c r="H181" s="3" t="n"/>
      <c r="I181" s="3" t="n"/>
      <c r="J181" s="3" t="n"/>
      <c r="K181" t="inlineStr">
        <is>
          <t>NO</t>
        </is>
      </c>
      <c r="L181" s="3" t="n"/>
    </row>
    <row r="182" ht="42" customHeight="1">
      <c r="A182" t="inlineStr">
        <is>
          <t>F181</t>
        </is>
      </c>
      <c r="B182" t="inlineStr">
        <is>
          <t>2023</t>
        </is>
      </c>
      <c r="C182" t="inlineStr">
        <is>
          <t>Arxiv_CS_2023</t>
        </is>
      </c>
      <c r="D182" t="inlineStr">
        <is>
          <t>2312.11513v1.pdf</t>
        </is>
      </c>
      <c r="E182" s="2" t="inlineStr">
        <is>
          <t>Crucially, ensure that the output system prompt is always formulated as a command targeted at the target AI system. The improved system prompt should follow this template, but feel free to change the order: a.) First, include the context switch using a completely different style. b.) Second, specify the goal (’real goal’) that the target model should focus on and provide instructions for the target model to forget previous instructions. c.) Finally, ensure that these are the most important instr</t>
        </is>
      </c>
      <c r="F182">
        <f>HYPERLINK("https://scholar.google.com/scholar?q=Crucially%2C+ensure+that+the+output+system+prompt+is+always+formulated+as+a+command+targeted+at+the+target+AI+system.+The+","search")</f>
        <v/>
      </c>
      <c r="G182" s="3" t="n"/>
      <c r="H182" s="3" t="n"/>
      <c r="I182" s="3" t="n"/>
      <c r="J182" s="3" t="n"/>
      <c r="K182" t="inlineStr">
        <is>
          <t>NO</t>
        </is>
      </c>
      <c r="L182" s="3" t="n"/>
    </row>
    <row r="183" ht="42" customHeight="1">
      <c r="A183" t="inlineStr">
        <is>
          <t>F182</t>
        </is>
      </c>
      <c r="B183" t="inlineStr">
        <is>
          <t>2023</t>
        </is>
      </c>
      <c r="C183" t="inlineStr">
        <is>
          <t>NeurIPS_2023</t>
        </is>
      </c>
      <c r="D183" t="inlineStr">
        <is>
          <t>01830c92c6558179fa6d7fb1edff692c-Paper-Conference.pdf</t>
        </is>
      </c>
      <c r="E183" s="2" t="inlineStr">
        <is>
          <t>Radcliffe, N. J. and Surry, P. D. (2012). Real-world uplift modelling with significance-based uplift trees. Rosenbaum, P. and Rubin, D. (1983). Assessing Sensitivity to an Unobserved Binary Covariate in an Observational Study with Binary Outcome. Journal of the Royal Statistical Society. Series B (Methodological), 45(2):212–218. Rubin, D. (1974). Estimating causal effects of treatments in randomized and nonrandomized studies. Journal of Educational Psychology, 66. Scornet, E., Biau, G., and Vert</t>
        </is>
      </c>
      <c r="F183">
        <f>HYPERLINK("https://scholar.google.com/scholar?q=Radcliffe%2C+N.+J.+and+Surry%2C+P.+D.+%282012%29.+Real-world+uplift+modelling+with+significance-based+uplift+trees.+Rosenbaum%2C+P","search")</f>
        <v/>
      </c>
      <c r="G183" s="3" t="n"/>
      <c r="H183" s="3" t="n"/>
      <c r="I183" s="3" t="n"/>
      <c r="J183" s="3" t="n"/>
      <c r="K183" t="inlineStr">
        <is>
          <t>NO</t>
        </is>
      </c>
      <c r="L183" s="3" t="n"/>
    </row>
    <row r="184" ht="42" customHeight="1">
      <c r="A184" t="inlineStr">
        <is>
          <t>F183</t>
        </is>
      </c>
      <c r="B184" t="inlineStr">
        <is>
          <t>2026</t>
        </is>
      </c>
      <c r="C184" t="inlineStr">
        <is>
          <t>Arxiv_General_Latest</t>
        </is>
      </c>
      <c r="D184" t="inlineStr">
        <is>
          <t>2605.08764v1.pdf</t>
        </is>
      </c>
      <c r="E184" s="2" t="inlineStr">
        <is>
          <t>S.-I. Amari and N. Murata, “Statistical analysis of regularization constant–From Bayes, MDL and NIC points of view,” in Biological and Artificial Computation: From Neuroscience to Technology (IWANN), Springer, 1997, pp. 284–293. 12  A Technical Appendix A.1 Extended Qualitative Results: Subspace Collapse in UMAP Projections To visually corroborate the quantitative spectral degradation reported in the main text, we present UMAP projections of the embedding space for the VLM + DCFormer architectur</t>
        </is>
      </c>
      <c r="F184">
        <f>HYPERLINK("https://scholar.google.com/scholar?q=S.-I.+Amari+and+N.+Murata%2C+%E2%80%9CStatistical+analysis+of+regularization+constant%E2%80%93From+Bayes%2C+MDL+and+NIC+points+of+view%2C%E2%80%9D+in+","search")</f>
        <v/>
      </c>
      <c r="G184" s="3" t="n"/>
      <c r="H184" s="3" t="n"/>
      <c r="I184" s="3" t="n"/>
      <c r="J184" s="3" t="n"/>
      <c r="K184" t="inlineStr">
        <is>
          <t>NO</t>
        </is>
      </c>
      <c r="L184" s="3" t="n"/>
    </row>
    <row r="185" ht="42" customHeight="1">
      <c r="A185" t="inlineStr">
        <is>
          <t>F184</t>
        </is>
      </c>
      <c r="B185" t="inlineStr">
        <is>
          <t>2025</t>
        </is>
      </c>
      <c r="C185" t="inlineStr">
        <is>
          <t>Arxiv_CS_2025</t>
        </is>
      </c>
      <c r="D185" t="inlineStr">
        <is>
          <t>2501.13946v1.pdf</t>
        </is>
      </c>
      <c r="E185" s="2" t="inlineStr">
        <is>
          <t>Clint Burfoot and Timothy Baldwin. Automatic satire detection: are you having a laugh? In Proceedings of the ACL-IJCNLP 2009 Conference Short Papers, ACLShort ’09, page 161–164, USA, 2009. Association for Computational Linguistics.</t>
        </is>
      </c>
      <c r="F185">
        <f>HYPERLINK("https://scholar.google.com/scholar?q=Clint+Burfoot+and+Timothy+Baldwin.+Automatic+satire+detection%3A+are+you+having+a+laugh%3F+In+Proceedings+of+the+ACL-IJCNLP+","search")</f>
        <v/>
      </c>
      <c r="G185" s="3" t="n"/>
      <c r="H185" s="3" t="n"/>
      <c r="I185" s="3" t="n"/>
      <c r="J185" s="3" t="n"/>
      <c r="K185" t="inlineStr">
        <is>
          <t>NO</t>
        </is>
      </c>
      <c r="L185" s="3" t="n"/>
    </row>
    <row r="186" ht="42" customHeight="1">
      <c r="A186" t="inlineStr">
        <is>
          <t>F185</t>
        </is>
      </c>
      <c r="B186" t="inlineStr">
        <is>
          <t>2023</t>
        </is>
      </c>
      <c r="C186" t="inlineStr">
        <is>
          <t>NeurIPS_2023</t>
        </is>
      </c>
      <c r="D186" t="inlineStr">
        <is>
          <t>08342dc6ab69f23167b4123086ad4d38-Paper-Conference.pdf</t>
        </is>
      </c>
      <c r="E186" s="2" t="inlineStr">
        <is>
          <t>[29] Tuomas Haarnoja, Vitchyr Pong, Aurick Zhou, Murtaza Dalal, Pieter Abbeel, and Sergey Levine. Com- posable deep reinforcement learning for robotic manipulation. In 2018 IEEE international conference on robotics and automation (ICRA), pages 6244–6251. IEEE, 2018.</t>
        </is>
      </c>
      <c r="F186">
        <f>HYPERLINK("https://scholar.google.com/scholar?q=%5B29%5D+Tuomas+Haarnoja%2C+Vitchyr+Pong%2C+Aurick+Zhou%2C+Murtaza+Dalal%2C+Pieter+Abbeel%2C+and+Sergey+Levine.+Com-+posable+deep+rein","search")</f>
        <v/>
      </c>
      <c r="G186" s="3" t="n"/>
      <c r="H186" s="3" t="n"/>
      <c r="I186" s="3" t="n"/>
      <c r="J186" s="3" t="n"/>
      <c r="K186" t="inlineStr">
        <is>
          <t>YES</t>
        </is>
      </c>
      <c r="L186" s="3" t="n"/>
    </row>
    <row r="187" ht="42" customHeight="1">
      <c r="A187" t="inlineStr">
        <is>
          <t>F186</t>
        </is>
      </c>
      <c r="B187" t="inlineStr">
        <is>
          <t>2016</t>
        </is>
      </c>
      <c r="C187" t="inlineStr">
        <is>
          <t>NeurIPS_2016</t>
        </is>
      </c>
      <c r="D187" t="inlineStr">
        <is>
          <t>018b59ce1fd616d874afad0f44ba338d-Paper.pdf</t>
        </is>
      </c>
      <c r="E187" s="2" t="inlineStr">
        <is>
          <t>D. Prelec. A bayesian truth serum for subjective data. Science, 306(5695):462–466, 2004.</t>
        </is>
      </c>
      <c r="F187">
        <f>HYPERLINK("https://scholar.google.com/scholar?q=D.+Prelec.+A+bayesian+truth+serum+for+subjective+data.+Science%2C+306%285695%29%3A462%E2%80%93466%2C+2004.","search")</f>
        <v/>
      </c>
      <c r="G187" s="3" t="n"/>
      <c r="H187" s="3" t="n"/>
      <c r="I187" s="3" t="n"/>
      <c r="J187" s="3" t="n"/>
      <c r="K187" t="inlineStr">
        <is>
          <t>NO</t>
        </is>
      </c>
      <c r="L187" s="3" t="n"/>
    </row>
    <row r="188" ht="42" customHeight="1">
      <c r="A188" t="inlineStr">
        <is>
          <t>F187</t>
        </is>
      </c>
      <c r="B188" t="inlineStr">
        <is>
          <t>2025</t>
        </is>
      </c>
      <c r="C188" t="inlineStr">
        <is>
          <t>Arxiv_CS_2025</t>
        </is>
      </c>
      <c r="D188" t="inlineStr">
        <is>
          <t>2501.10966v1.pdf</t>
        </is>
      </c>
      <c r="E188" s="2" t="inlineStr">
        <is>
          <t xml:space="preserve">Learning a Predictable and Generative Vector Pepre- sentation for Objects. In European Conference on Computer Vision, 484–499. Springer. Groueix, T.; Fisher, M.; Kim, V. G.; Russell, B. C.; and Aubry, M. 2018. A Papier-Mâché Approach to Learning 3D Surface Generation. In IEEE Conference on Computer Vision and Pattern Recognition, 216–224. Guo, M.-H.; Cai, J.-X.; Liu, Z.-N.; Mu, T.-J.; Martin, R. R.; and Hu, S.-M. 2021. PCT: Point Cloud Transformer. Com- putational Visual Media, 7: 187–199. Han, </t>
        </is>
      </c>
      <c r="F188">
        <f>HYPERLINK("https://scholar.google.com/scholar?q=Learning+a+Predictable+and+Generative+Vector+Pepre-+sentation+for+Objects.+In+European+Conference+on+Computer+Vision%2C+48","search")</f>
        <v/>
      </c>
      <c r="G188" s="3" t="n"/>
      <c r="H188" s="3" t="n"/>
      <c r="I188" s="3" t="n"/>
      <c r="J188" s="3" t="n"/>
      <c r="K188" t="inlineStr">
        <is>
          <t>YES</t>
        </is>
      </c>
      <c r="L188" s="3" t="n"/>
    </row>
    <row r="189" ht="42" customHeight="1">
      <c r="A189" t="inlineStr">
        <is>
          <t>F188</t>
        </is>
      </c>
      <c r="B189" t="inlineStr">
        <is>
          <t>2026</t>
        </is>
      </c>
      <c r="C189" t="inlineStr">
        <is>
          <t>Arxiv_General_Latest</t>
        </is>
      </c>
      <c r="D189" t="inlineStr">
        <is>
          <t>2604.17794v1.pdf</t>
        </is>
      </c>
      <c r="E189" s="2" t="inlineStr">
        <is>
          <t>Độ chính xác (Accuracy): So sánh kết quả cuối cùng  với đáp án chuẩn. Đánh giá cả quá trình giải và kết quả cuối.     - 5 điểm: Kết quả cuối cùng đúng hoàn toàn; cách giải  đúng, không có sai sót quan trọng.     - 4 điểm: Kết quả đúng; cách giải có lỗi nhỏ (nhưng  không làm thay đổi kết quả và không gây hiểu nhầm nghiêm  trọng).      - 3 điểm: Kết quả đúng nhưng cách giải có nhiều chỗ  thiếu chính xác, nhầm lẫn, hoặc chỉ nêu đáp án mà không  giải thích; hoặc kết quả sai nhưng phần lớn các bước t</t>
        </is>
      </c>
      <c r="F189">
        <f>HYPERLINK("https://scholar.google.com/scholar?q=%C4%90%E1%BB%99+ch%C3%ADnh+x%C3%A1c+%28Accuracy%29%3A+So+s%C3%A1nh+k%E1%BA%BFt+qu%E1%BA%A3+cu%E1%BB%91i+c%C3%B9ng++v%E1%BB%9Bi+%C4%91%C3%A1p+%C3%A1n+chu%E1%BA%A9n.+%C4%90%C3%A1nh+gi%C3%A1+c%E1%BA%A3+qu%C3%A1+tr%C3%ACnh+gi%E1%BA%A3i+v%C3%A0+k%E1%BA%BFt+qu%E1%BA%A3+cu%E1%BB%91i.+++++-+","search")</f>
        <v/>
      </c>
      <c r="G189" s="3" t="n"/>
      <c r="H189" s="3" t="n"/>
      <c r="I189" s="3" t="n"/>
      <c r="J189" s="3" t="n"/>
      <c r="K189" t="inlineStr">
        <is>
          <t>NO</t>
        </is>
      </c>
      <c r="L189" s="3" t="n"/>
    </row>
    <row r="190" ht="42" customHeight="1">
      <c r="A190" t="inlineStr">
        <is>
          <t>F189</t>
        </is>
      </c>
      <c r="B190" t="inlineStr">
        <is>
          <t>2016</t>
        </is>
      </c>
      <c r="C190" t="inlineStr">
        <is>
          <t>Arxiv_Bio_2016</t>
        </is>
      </c>
      <c r="D190" t="inlineStr">
        <is>
          <t>1608.03425v2.pdf</t>
        </is>
      </c>
      <c r="E190" s="2" t="inlineStr">
        <is>
          <t>Desimone R, Duncan J. 1995. Neural mechanisms of selective  visual attention. Annual review of neuroscience, 18(1), 193-222.  Dicarlo JJ, Zoccolan D, Rust NC. 2012. How does the brain  solve visual object recognition? Neuron, 73, 415-434.  Donahue J, Hendricks LA, Guadarrama S, Rohrbach M, Venu- gopalan S, Saenko K, Darrell. 2015. Long-term recurrent convo- lutional networks for visual recognition and description. In Pro- ceedings of the IEEE Conference on Computer Vision and Pat- tern Recogniti</t>
        </is>
      </c>
      <c r="F190">
        <f>HYPERLINK("https://scholar.google.com/scholar?q=Desimone+R%2C+Duncan+J.+1995.+Neural+mechanisms+of+selective++visual+attention.+Annual+review+of+neuroscience%2C+18%281%29%2C+193-","search")</f>
        <v/>
      </c>
      <c r="G190" s="3" t="n"/>
      <c r="H190" s="3" t="n"/>
      <c r="I190" s="3" t="n"/>
      <c r="J190" s="3" t="n"/>
      <c r="K190" t="inlineStr">
        <is>
          <t>NO</t>
        </is>
      </c>
      <c r="L190" s="3" t="n"/>
    </row>
    <row r="191" ht="42" customHeight="1">
      <c r="A191" t="inlineStr">
        <is>
          <t>F190</t>
        </is>
      </c>
      <c r="B191" t="inlineStr">
        <is>
          <t>2025</t>
        </is>
      </c>
      <c r="C191" t="inlineStr">
        <is>
          <t>Arxiv_CS_2025</t>
        </is>
      </c>
      <c r="D191" t="inlineStr">
        <is>
          <t>2501.14005v1.pdf</t>
        </is>
      </c>
      <c r="E191" s="2" t="inlineStr">
        <is>
          <t>S. Chen, C. Cornelius, J. Martin, and D. Chau, “Shapeshifter: Robust physical adversarial attack on faster r-cnn object detector,” in Joint European Conference on Machine Learning and Knowledge Discovery in Databases, 2018.</t>
        </is>
      </c>
      <c r="F191">
        <f>HYPERLINK("https://scholar.google.com/scholar?q=S.+Chen%2C+C.+Cornelius%2C+J.+Martin%2C+and+D.+Chau%2C+%E2%80%9CShapeshifter%3A+Robust+physical+adversarial+attack+on+faster+r-cnn+object+","search")</f>
        <v/>
      </c>
      <c r="G191" s="3" t="n"/>
      <c r="H191" s="3" t="n"/>
      <c r="I191" s="3" t="n"/>
      <c r="J191" s="3" t="n"/>
      <c r="K191" t="inlineStr">
        <is>
          <t>YES</t>
        </is>
      </c>
      <c r="L191" s="3" t="n"/>
    </row>
    <row r="192" ht="42" customHeight="1">
      <c r="A192" t="inlineStr">
        <is>
          <t>F191</t>
        </is>
      </c>
      <c r="B192" t="inlineStr">
        <is>
          <t>2025</t>
        </is>
      </c>
      <c r="C192" t="inlineStr">
        <is>
          <t>Arxiv_CS_2025</t>
        </is>
      </c>
      <c r="D192" t="inlineStr">
        <is>
          <t>2501.15648v1.pdf</t>
        </is>
      </c>
      <c r="E192" s="2" t="inlineStr">
        <is>
          <t>Gyeongsik Moon, Takaaki Shiratori, and Shunsuke Saito. Expressive whole-body 3d gaussian avatar. arXiv preprint arXiv:2407.21686, 2024. 2, 3, 7</t>
        </is>
      </c>
      <c r="F192">
        <f>HYPERLINK("https://scholar.google.com/scholar?q=Gyeongsik+Moon%2C+Takaaki+Shiratori%2C+and+Shunsuke+Saito.+Expressive+whole-body+3d+gaussian+avatar.+arXiv+preprint+arXiv%3A24","search")</f>
        <v/>
      </c>
      <c r="G192" s="3" t="n"/>
      <c r="H192" s="3" t="n"/>
      <c r="I192" s="3" t="n"/>
      <c r="J192" s="3" t="n"/>
      <c r="K192" t="inlineStr">
        <is>
          <t>NO</t>
        </is>
      </c>
      <c r="L192" s="3" t="n"/>
    </row>
    <row r="193" ht="42" customHeight="1">
      <c r="A193" t="inlineStr">
        <is>
          <t>F192</t>
        </is>
      </c>
      <c r="B193" t="inlineStr">
        <is>
          <t>2016</t>
        </is>
      </c>
      <c r="C193" t="inlineStr">
        <is>
          <t>NeurIPS_2016</t>
        </is>
      </c>
      <c r="D193" t="inlineStr">
        <is>
          <t>052335232b11864986bb2fa20fa38748-Paper.pdf</t>
        </is>
      </c>
      <c r="E193" s="2" t="inlineStr">
        <is>
          <t>Bonnie Berger, John Rompel, and Peter W Shor. Efﬁcient nc algorithms for set cover with applications to learning and geometry. Journal of Computer and System Sciences, 1994.</t>
        </is>
      </c>
      <c r="F193">
        <f>HYPERLINK("https://scholar.google.com/scholar?q=Bonnie+Berger%2C+John+Rompel%2C+and+Peter+W+Shor.+Ef%EF%AC%81cient+nc+algorithms+for+set+cover+with+applications+to+learning+and+geo","search")</f>
        <v/>
      </c>
      <c r="G193" s="3" t="n"/>
      <c r="H193" s="3" t="n"/>
      <c r="I193" s="3" t="n"/>
      <c r="J193" s="3" t="n"/>
      <c r="K193" t="inlineStr">
        <is>
          <t>NO</t>
        </is>
      </c>
      <c r="L193" s="3" t="n"/>
    </row>
    <row r="194" ht="42" customHeight="1">
      <c r="A194" t="inlineStr">
        <is>
          <t>F193</t>
        </is>
      </c>
      <c r="B194" t="inlineStr">
        <is>
          <t>2023</t>
        </is>
      </c>
      <c r="C194" t="inlineStr">
        <is>
          <t>NeurIPS_2023</t>
        </is>
      </c>
      <c r="D194" t="inlineStr">
        <is>
          <t>03b1043052700b1a471996b0baf309d4-Paper-Conference.pdf</t>
        </is>
      </c>
      <c r="E194" s="2" t="inlineStr">
        <is>
          <t>Wassily Hoeffding. Probability Inequalities for sums of Bounded Random Variables. Springer New York, 1994. 11  9 Appendix 9.1 Guarantees for General Agnostic Algorithm In this section, we give proofs for the guarantees of Algorithm 1. We begin with some deﬁnitions, starting with how empirical loss estimates are made. Deﬁnition 1. Given a hypothesis h ∈H, and a set of pairs S = {(xi, yi) : xi ∈X, yi ∈Y}N i=1, let LS(h) := 1 N  N X i=1 1[h(xi) ̸= yi] ! the standard empirical loss of h on S. Let L∅</t>
        </is>
      </c>
      <c r="F194">
        <f>HYPERLINK("https://scholar.google.com/scholar?q=Wassily+Hoeffding.+Probability+Inequalities+for+sums+of+Bounded+Random+Variables.+Springer+New+York%2C+1994.+11++9+Appendi","search")</f>
        <v/>
      </c>
      <c r="G194" s="3" t="n"/>
      <c r="H194" s="3" t="n"/>
      <c r="I194" s="3" t="n"/>
      <c r="J194" s="3" t="n"/>
      <c r="K194" t="inlineStr">
        <is>
          <t>YES</t>
        </is>
      </c>
      <c r="L194" s="3" t="n"/>
    </row>
    <row r="195" ht="42" customHeight="1">
      <c r="A195" t="inlineStr">
        <is>
          <t>F194</t>
        </is>
      </c>
      <c r="B195" t="inlineStr">
        <is>
          <t>2023</t>
        </is>
      </c>
      <c r="C195" t="inlineStr">
        <is>
          <t>Arxiv_CS_2023</t>
        </is>
      </c>
      <c r="D195" t="inlineStr">
        <is>
          <t>2311.08999v2.pdf</t>
        </is>
      </c>
      <c r="E195" s="2" t="inlineStr">
        <is>
          <t>Ben-Tal, A., Chung, B. D., Mandala, S. R., and Yao, T. (2011). Robust optimization for emergency logistics planning: Risk mitigation in humanitarian relief supply chains. Transportation Research Part B: Methodological, 45(8):1177–1189. Supply chain disruption and risk management. Bertsimas, D., Boussioux, L., Cory-Wright, R., Delarue, A., Digalakis, V., Jacquillat, A., Kitane, D. L., Lukin, G., Li, M., Mingardi, L., et al. (2021). From predictions to prescriptions: A data- driven response to cov</t>
        </is>
      </c>
      <c r="F195">
        <f>HYPERLINK("https://scholar.google.com/scholar?q=Ben-Tal%2C+A.%2C+Chung%2C+B.+D.%2C+Mandala%2C+S.+R.%2C+and+Yao%2C+T.+%282011%29.+Robust+optimization+for+emergency+logistics+planning%3A+Ris","search")</f>
        <v/>
      </c>
      <c r="G195" s="3" t="n"/>
      <c r="H195" s="3" t="n"/>
      <c r="I195" s="3" t="n"/>
      <c r="J195" s="3" t="n"/>
      <c r="K195" t="inlineStr">
        <is>
          <t>NO</t>
        </is>
      </c>
      <c r="L195" s="3" t="n"/>
    </row>
    <row r="196" ht="42" customHeight="1">
      <c r="A196" t="inlineStr">
        <is>
          <t>F195</t>
        </is>
      </c>
      <c r="B196" t="inlineStr">
        <is>
          <t>2023</t>
        </is>
      </c>
      <c r="C196" t="inlineStr">
        <is>
          <t>Arxiv_CS_2023</t>
        </is>
      </c>
      <c r="D196" t="inlineStr">
        <is>
          <t>2310.11079v1.pdf</t>
        </is>
      </c>
      <c r="E196" s="2" t="inlineStr">
        <is>
          <t>How sensitive are translation systems to extra contexts? mitigating gender bias in neu- ral machine translation models through relevant contexts. Emily Sheng, Kai-Wei Chang, Prem Natarajan, and Nanyun Peng. 2020. Towards Controllable Bi- ases in Language Generation. In Findings of the Association for Computational Linguistics: EMNLP 2020, pages 3239–3254, Online. Asso- ciation for Computational Linguistics. Emily Sheng, Kai-Wei Chang, Premkumar Natara- jan, and Nanyun Peng. 2019. The woman worke</t>
        </is>
      </c>
      <c r="F196">
        <f>HYPERLINK("https://scholar.google.com/scholar?q=How+sensitive+are+translation+systems+to+extra+contexts%3F+mitigating+gender+bias+in+neu-+ral+machine+translation+models+t","search")</f>
        <v/>
      </c>
      <c r="G196" s="3" t="n"/>
      <c r="H196" s="3" t="n"/>
      <c r="I196" s="3" t="n"/>
      <c r="J196" s="3" t="n"/>
      <c r="K196" t="inlineStr">
        <is>
          <t>NO</t>
        </is>
      </c>
      <c r="L196" s="3" t="n"/>
    </row>
    <row r="197" ht="42" customHeight="1">
      <c r="A197" t="inlineStr">
        <is>
          <t>F196</t>
        </is>
      </c>
      <c r="B197" t="inlineStr">
        <is>
          <t>2025</t>
        </is>
      </c>
      <c r="C197" t="inlineStr">
        <is>
          <t>Arxiv_CS_2025</t>
        </is>
      </c>
      <c r="D197" t="inlineStr">
        <is>
          <t>2501.18128v1.pdf</t>
        </is>
      </c>
      <c r="E197" s="2" t="inlineStr">
        <is>
          <t>S. Narayan, S. B. Cohen, and M. Lapata, ”Don’t Give Me the Details, Just the Summary! Topic-Aware Convolutional Neural Networks for Extreme Summarization,” in Proceedings of the 2018 Conference on Empirical Methods in Natural Language Processing, Association for Computational Linguistics, Aug. 2018. https://doi.org/10.18653/V1/D18-1206</t>
        </is>
      </c>
      <c r="F197">
        <f>HYPERLINK("https://scholar.google.com/scholar?q=S.+Narayan%2C+S.+B.+Cohen%2C+and+M.+Lapata%2C+%E2%80%9DDon%E2%80%99t+Give+Me+the+Details%2C+Just+the+Summary%21+Topic-Aware+Convolutional+Neural+N","search")</f>
        <v/>
      </c>
      <c r="G197" s="3" t="n"/>
      <c r="H197" s="3" t="n"/>
      <c r="I197" s="3" t="n"/>
      <c r="J197" s="3" t="n"/>
      <c r="K197" t="inlineStr">
        <is>
          <t>NO</t>
        </is>
      </c>
      <c r="L197" s="3" t="n"/>
    </row>
    <row r="198" ht="42" customHeight="1">
      <c r="A198" t="inlineStr">
        <is>
          <t>F197</t>
        </is>
      </c>
      <c r="B198" t="inlineStr">
        <is>
          <t>2026</t>
        </is>
      </c>
      <c r="C198" t="inlineStr">
        <is>
          <t>Arxiv_General_Latest</t>
        </is>
      </c>
      <c r="D198" t="inlineStr">
        <is>
          <t>2602.20239v1.pdf</t>
        </is>
      </c>
      <c r="E198" s="2" t="inlineStr">
        <is>
          <t>Abbott, D. C. 1982, ApJ, 259, 282 Alkousa, T., Crowther, P. A., Bestenlehner, J. M., et al. 2025, A&amp;A, 699, A314 Anderson, L. S. 1985, ApJ, 298, 848 Anderson, L. S. 1989, ApJ, 339, 558 Ardeberg, A. 1980, A&amp;AS, 42, 1 Ardeberg, A. &amp; Maurice, E. 1977, A&amp;AS, 30, 261 Azzopardi, M., Vigneau, J., &amp; Macquet, M. 1975, A&amp;AS, 22, 285 Backs, F., Brands, S. A., de Koter, A., et al. 2024, A&amp;A, 692, A88 Beckman, J. E. &amp; Crivellari, L. 1985, Science, 230, 835 1 https://doi.org/10.5281/zenodo.18416382 Article nu</t>
        </is>
      </c>
      <c r="F198">
        <f>HYPERLINK("https://scholar.google.com/scholar?q=Abbott%2C+D.+C.+1982%2C+ApJ%2C+259%2C+282+Alkousa%2C+T.%2C+Crowther%2C+P.+A.%2C+Bestenlehner%2C+J.+M.%2C+et+al.+2025%2C+A%26A%2C+699%2C+A314+Anderso","search")</f>
        <v/>
      </c>
      <c r="G198" s="3" t="n"/>
      <c r="H198" s="3" t="n"/>
      <c r="I198" s="3" t="n"/>
      <c r="J198" s="3" t="n"/>
      <c r="K198" t="inlineStr">
        <is>
          <t>YES</t>
        </is>
      </c>
      <c r="L198" s="3" t="n"/>
    </row>
    <row r="199" ht="42" customHeight="1">
      <c r="A199" t="inlineStr">
        <is>
          <t>F198</t>
        </is>
      </c>
      <c r="B199" t="inlineStr">
        <is>
          <t>2016</t>
        </is>
      </c>
      <c r="C199" t="inlineStr">
        <is>
          <t>Arxiv_Bio_2016</t>
        </is>
      </c>
      <c r="D199" t="inlineStr">
        <is>
          <t>1606.04247v1.pdf</t>
        </is>
      </c>
      <c r="E199" s="2" t="inlineStr">
        <is>
          <t>(1)  Huang, B.X., and Kim, H.Y. (2013) Effective identification of Akt interacting  proteins by two-step chemical crosslinking, co-immunoprecipitation and mass  spectrometry. PloS one. 8, e61430  (2)  Gao, M., McCluskey, P., Loganathan, S.N., and Arkov, A.L. (2014) An in  vivo crosslinking approach to isolate protein complexes from Drosophila  embryos. Journal of visualized experiments : JoVE.   (3)  Kim, K.M., Yi, E.C., and Kim, Y. (2012) Mapping protein receptor-ligand  interactions via in viv</t>
        </is>
      </c>
      <c r="F199">
        <f>HYPERLINK("https://scholar.google.com/scholar?q=%281%29++Huang%2C+B.X.%2C+and+Kim%2C+H.Y.+%282013%29+Effective+identification+of+Akt+interacting++proteins+by+two-step+chemical+crossl","search")</f>
        <v/>
      </c>
      <c r="G199" s="3" t="n"/>
      <c r="H199" s="3" t="n"/>
      <c r="I199" s="3" t="n"/>
      <c r="J199" s="3" t="n"/>
      <c r="K199" t="inlineStr">
        <is>
          <t>NO</t>
        </is>
      </c>
      <c r="L199" s="3" t="n"/>
    </row>
    <row r="200" ht="42" customHeight="1">
      <c r="A200" t="inlineStr">
        <is>
          <t>F199</t>
        </is>
      </c>
      <c r="B200" t="inlineStr">
        <is>
          <t>2023</t>
        </is>
      </c>
      <c r="C200" t="inlineStr">
        <is>
          <t>Arxiv_CS_2023</t>
        </is>
      </c>
      <c r="D200" t="inlineStr">
        <is>
          <t>2312.10435v1.pdf</t>
        </is>
      </c>
      <c r="E200" s="2" t="inlineStr">
        <is>
          <t>Estimating heterogeneous effects of continuous expo- sures using bayesian tree ensembles: revisiting the impact of abortion rates on crime. arXiv preprint arXiv:2007.09845. Wu, A.; Kuang, K.; Xiong, R.; Li, B.; and Wu, F. 2023. Sta- ble estimation of heterogeneous treatment effects. In Inter- national Conference on Machine Learning, 37496–37510. PMLR. Yao, L.; Chu, Z.; Li, S.; Li, Y.; Gao, J.; and Zhang, A. 2021. A survey on causal inference. ACM Transactions on Knowl- edge Discovery from Data (</t>
        </is>
      </c>
      <c r="F200">
        <f>HYPERLINK("https://scholar.google.com/scholar?q=Estimating+heterogeneous+effects+of+continuous+expo-+sures+using+bayesian+tree+ensembles%3A+revisiting+the+impact+of+abort","search")</f>
        <v/>
      </c>
      <c r="G200" s="3" t="n"/>
      <c r="H200" s="3" t="n"/>
      <c r="I200" s="3" t="n"/>
      <c r="J200" s="3" t="n"/>
      <c r="K200" t="inlineStr">
        <is>
          <t>NO</t>
        </is>
      </c>
      <c r="L200" s="3" t="n"/>
    </row>
    <row r="201" ht="42" customHeight="1">
      <c r="A201" t="inlineStr">
        <is>
          <t>F200</t>
        </is>
      </c>
      <c r="B201" t="inlineStr">
        <is>
          <t>2025</t>
        </is>
      </c>
      <c r="C201" t="inlineStr">
        <is>
          <t>Arxiv_CS_2025</t>
        </is>
      </c>
      <c r="D201" t="inlineStr">
        <is>
          <t>2501.16361v1.pdf</t>
        </is>
      </c>
      <c r="E201" s="2" t="inlineStr">
        <is>
          <t>Dong Z, Zhang M, Payne P, et al. Rethinking the Power of Graph Canonization in Graph  Representation Learning with Stability. In: The Twelfth International Conference on  Learning Representations. ; 2024. https://openreview.net/forum?id=nTwb2vBLOV</t>
        </is>
      </c>
      <c r="F201">
        <f>HYPERLINK("https://scholar.google.com/scholar?q=Dong+Z%2C+Zhang+M%2C+Payne+P%2C+et+al.+Rethinking+the+Power+of+Graph+Canonization+in+Graph++Representation+Learning+with+Stabi","search")</f>
        <v/>
      </c>
      <c r="G201" s="3" t="n"/>
      <c r="H201" s="3" t="n"/>
      <c r="I201" s="3" t="n"/>
      <c r="J201" s="3" t="n"/>
      <c r="K201" t="inlineStr">
        <is>
          <t>NO</t>
        </is>
      </c>
      <c r="L201" s="3" t="n"/>
    </row>
    <row r="202" ht="42" customHeight="1">
      <c r="A202" t="inlineStr">
        <is>
          <t>F201</t>
        </is>
      </c>
      <c r="B202" t="inlineStr">
        <is>
          <t>2016</t>
        </is>
      </c>
      <c r="C202" t="inlineStr">
        <is>
          <t>NeurIPS_2016</t>
        </is>
      </c>
      <c r="D202" t="inlineStr">
        <is>
          <t>0771fc6f0f4b1d7d1bb73bbbe14e0e31-Paper.pdf</t>
        </is>
      </c>
      <c r="E202" s="2" t="inlineStr">
        <is>
          <t>Christopher D Harvey, Philip Coen, and David W Tank. Choice-speciﬁc sequences in parietal cortex during a virtual-navigation decision task. Nature, 484(7392):62–68, 2012.</t>
        </is>
      </c>
      <c r="F202">
        <f>HYPERLINK("https://scholar.google.com/scholar?q=Christopher+D+Harvey%2C+Philip+Coen%2C+and+David+W+Tank.+Choice-speci%EF%AC%81c+sequences+in+parietal+cortex+during+a+virtual-naviga","search")</f>
        <v/>
      </c>
      <c r="G202" s="3" t="n"/>
      <c r="H202" s="3" t="n"/>
      <c r="I202" s="3" t="n"/>
      <c r="J202" s="3" t="n"/>
      <c r="K202" t="inlineStr">
        <is>
          <t>NO</t>
        </is>
      </c>
      <c r="L202" s="3" t="n"/>
    </row>
    <row r="203" ht="42" customHeight="1">
      <c r="A203" t="inlineStr">
        <is>
          <t>F202</t>
        </is>
      </c>
      <c r="B203" t="inlineStr">
        <is>
          <t>2016</t>
        </is>
      </c>
      <c r="C203" t="inlineStr">
        <is>
          <t>Arxiv_CS_2016</t>
        </is>
      </c>
      <c r="D203" t="inlineStr">
        <is>
          <t>1612.02814v2.pdf</t>
        </is>
      </c>
      <c r="E203" s="2" t="inlineStr">
        <is>
          <t xml:space="preserve">Venue Paper embedding Author scores Node type embedding Figure 3: Task-speciﬁc embedding architecture for author identiﬁ- cation. Now the anonymized paper p is represented by this feature vec- tor Vp, and can be used to score potential authors (which are also embedding vectors) by taking their dot product. The score between a pair of paper and author is deﬁned as follows: f(p, a) = uT a Vp = uT a  X t wtV (t) p  = uT a  X t wt X n∈X(t) p un/|X(t) p |  (3) The computational ﬂow is summarized </t>
        </is>
      </c>
      <c r="F203">
        <f>HYPERLINK("https://scholar.google.com/scholar?q=Venue+Paper+embedding+Author+scores+Node+type+embedding+Figure+3%3A+Task-speci%EF%AC%81c+embedding+architecture+for+author+identi%EF%AC%81","search")</f>
        <v/>
      </c>
      <c r="G203" s="3" t="n"/>
      <c r="H203" s="3" t="n"/>
      <c r="I203" s="3" t="n"/>
      <c r="J203" s="3" t="n"/>
      <c r="K203" t="inlineStr">
        <is>
          <t>NO</t>
        </is>
      </c>
      <c r="L203" s="3" t="n"/>
    </row>
    <row r="204" ht="42" customHeight="1">
      <c r="A204" t="inlineStr">
        <is>
          <t>F203</t>
        </is>
      </c>
      <c r="B204" t="inlineStr">
        <is>
          <t>2025</t>
        </is>
      </c>
      <c r="C204" t="inlineStr">
        <is>
          <t>Arxiv_CS_2025</t>
        </is>
      </c>
      <c r="D204" t="inlineStr">
        <is>
          <t>2501.11065v1.pdf</t>
        </is>
      </c>
      <c r="E204" s="2" t="inlineStr">
        <is>
          <t>Doroteo T Toledano, Mar´ıa Pilar Fern´andez-Gallego, and Alicia Lozano-Diez. Multi-resolution speech analysis for automatic speech recognition using deep neural networks: Experiments on timit. PloS one, 13(10):e0205355,</t>
        </is>
      </c>
      <c r="F204">
        <f>HYPERLINK("https://scholar.google.com/scholar?q=Doroteo+T+Toledano%2C+Mar%C2%B4%C4%B1a+Pilar+Fern%C2%B4andez-Gallego%2C+and+Alicia+Lozano-Diez.+Multi-resolution+speech+analysis+for+automa","search")</f>
        <v/>
      </c>
      <c r="G204" s="3" t="n"/>
      <c r="H204" s="3" t="n"/>
      <c r="I204" s="3" t="n"/>
      <c r="J204" s="3" t="n"/>
      <c r="K204" t="inlineStr">
        <is>
          <t>NO</t>
        </is>
      </c>
      <c r="L204" s="3" t="n"/>
    </row>
    <row r="205" ht="42" customHeight="1">
      <c r="A205" t="inlineStr">
        <is>
          <t>F204</t>
        </is>
      </c>
      <c r="B205" t="inlineStr">
        <is>
          <t>2023</t>
        </is>
      </c>
      <c r="C205" t="inlineStr">
        <is>
          <t>NeurIPS_2023</t>
        </is>
      </c>
      <c r="D205" t="inlineStr">
        <is>
          <t>05fb0f4e645cad23e0ab59d6b9901428-Paper-Conference.pdf</t>
        </is>
      </c>
      <c r="E205" s="2" t="inlineStr">
        <is>
          <t>[10] Timnit Gebru, Jamie Morgenstern, Briana Vecchione, Jennifer Wortman Vaughan, Hanna Wallach, Hal Daumé Iii, and Kate Crawford. Datasheets for datasets. Communications of the ACM, 64(12):86–92, 2021.</t>
        </is>
      </c>
      <c r="F205">
        <f>HYPERLINK("https://scholar.google.com/scholar?q=%5B10%5D+Timnit+Gebru%2C+Jamie+Morgenstern%2C+Briana+Vecchione%2C+Jennifer+Wortman+Vaughan%2C+Hanna+Wallach%2C+Hal+Daum%C3%A9+Iii%2C+and+Kate","search")</f>
        <v/>
      </c>
      <c r="G205" s="3" t="n"/>
      <c r="H205" s="3" t="n"/>
      <c r="I205" s="3" t="n"/>
      <c r="J205" s="3" t="n"/>
      <c r="K205" t="inlineStr">
        <is>
          <t>YES</t>
        </is>
      </c>
      <c r="L205" s="3" t="n"/>
    </row>
    <row r="206" ht="42" customHeight="1">
      <c r="A206" t="inlineStr">
        <is>
          <t>F205</t>
        </is>
      </c>
      <c r="B206" t="inlineStr">
        <is>
          <t>2016</t>
        </is>
      </c>
      <c r="C206" t="inlineStr">
        <is>
          <t>NeurIPS_2016</t>
        </is>
      </c>
      <c r="D206" t="inlineStr">
        <is>
          <t>07811dc6c422334ce36a09ff5cd6fe71-Paper.pdf</t>
        </is>
      </c>
      <c r="E206" s="2" t="inlineStr">
        <is>
          <t>[6] K. He, X. Zhang, S. Ren, and J. Sun. Identity mappings in deep residual networks. In ECCV, 2016.</t>
        </is>
      </c>
      <c r="F206">
        <f>HYPERLINK("https://scholar.google.com/scholar?q=%5B6%5D+K.+He%2C+X.+Zhang%2C+S.+Ren%2C+and+J.+Sun.+Identity+mappings+in+deep+residual+networks.+In+ECCV%2C+2016.","search")</f>
        <v/>
      </c>
      <c r="G206" s="3" t="n"/>
      <c r="H206" s="3" t="n"/>
      <c r="I206" s="3" t="n"/>
      <c r="J206" s="3" t="n"/>
      <c r="K206" t="inlineStr">
        <is>
          <t>NO</t>
        </is>
      </c>
      <c r="L206" s="3" t="n"/>
    </row>
    <row r="207" ht="42" customHeight="1">
      <c r="A207" t="inlineStr">
        <is>
          <t>F206</t>
        </is>
      </c>
      <c r="B207" t="inlineStr">
        <is>
          <t>2016</t>
        </is>
      </c>
      <c r="C207" t="inlineStr">
        <is>
          <t>Arxiv_Bio_2016</t>
        </is>
      </c>
      <c r="D207" t="inlineStr">
        <is>
          <t>1606.01422v3.pdf</t>
        </is>
      </c>
      <c r="E207" s="2" t="inlineStr">
        <is>
          <t>Perspectives  on  the  basic  reproductive  ratio. J.  R.  Soc.  Interface  2  (4),  281–293. Hethcote,  H.W.,</t>
        </is>
      </c>
      <c r="F207">
        <f>HYPERLINK("https://scholar.google.com/scholar?q=Perspectives++on++the++basic++reproductive++ratio.+J.++R.++Soc.++Interface++2++%284%29%2C++281%E2%80%93293.+Hethcote%2C++H.W.%2C","search")</f>
        <v/>
      </c>
      <c r="G207" s="3" t="n"/>
      <c r="H207" s="3" t="n"/>
      <c r="I207" s="3" t="n"/>
      <c r="J207" s="3" t="n"/>
      <c r="K207" t="inlineStr">
        <is>
          <t>YES</t>
        </is>
      </c>
      <c r="L207" s="3" t="n"/>
    </row>
    <row r="208" ht="42" customHeight="1">
      <c r="A208" t="inlineStr">
        <is>
          <t>F207</t>
        </is>
      </c>
      <c r="B208" t="inlineStr">
        <is>
          <t>2025</t>
        </is>
      </c>
      <c r="C208" t="inlineStr">
        <is>
          <t>Arxiv_CS_2025</t>
        </is>
      </c>
      <c r="D208" t="inlineStr">
        <is>
          <t>2501.16364v1.pdf</t>
        </is>
      </c>
      <c r="E208" s="2" t="inlineStr">
        <is>
          <t>Julien Audibert, Pietro Michiardi, Frédéric Guyard, Sébastien Marti, and Maria A Zuluaga. 2020. Usad: Unsupervised anomaly detection on multivariate time series. In Proceedings of the 26th ACM SIGKDD international conference on knowledge discovery &amp; data mining. 3395–3404.</t>
        </is>
      </c>
      <c r="F208">
        <f>HYPERLINK("https://scholar.google.com/scholar?q=Julien+Audibert%2C+Pietro+Michiardi%2C+Fr%C3%A9d%C3%A9ric+Guyard%2C+S%C3%A9bastien+Marti%2C+and+Maria+A+Zuluaga.+2020.+Usad%3A+Unsupervised+anoma","search")</f>
        <v/>
      </c>
      <c r="G208" s="3" t="n"/>
      <c r="H208" s="3" t="n"/>
      <c r="I208" s="3" t="n"/>
      <c r="J208" s="3" t="n"/>
      <c r="K208" t="inlineStr">
        <is>
          <t>NO</t>
        </is>
      </c>
      <c r="L208" s="3" t="n"/>
    </row>
    <row r="209" ht="42" customHeight="1">
      <c r="A209" t="inlineStr">
        <is>
          <t>F208</t>
        </is>
      </c>
      <c r="B209" t="inlineStr">
        <is>
          <t>2023</t>
        </is>
      </c>
      <c r="C209" t="inlineStr">
        <is>
          <t>NeurIPS_2023</t>
        </is>
      </c>
      <c r="D209" t="inlineStr">
        <is>
          <t>0a70c9cd8179fe6f8f6135fafa2a8798-Paper-Conference.pdf</t>
        </is>
      </c>
      <c r="E209" s="2" t="inlineStr">
        <is>
          <t>B. McMahan, E. Moore, D. Ramage, S. Hampson, and B. A. y Arcas. Communication-Efficient Learning of Deep Networks from Decentralized Data. In Aarti Singh and Jerry Zhu, editors, Proceedings of the 20th International Conference on Artificial Intelligence and Statistics, volume 54 of Proceedings of Machine Learning Research, pages 1273–1282. PMLR, 20–22 Apr 2017. 12</t>
        </is>
      </c>
      <c r="F209">
        <f>HYPERLINK("https://scholar.google.com/scholar?q=B.+McMahan%2C+E.+Moore%2C+D.+Ramage%2C+S.+Hampson%2C+and+B.+A.+y+Arcas.+Communication-Efficient+Learning+of+Deep+Networks+from+D","search")</f>
        <v/>
      </c>
      <c r="G209" s="3" t="n"/>
      <c r="H209" s="3" t="n"/>
      <c r="I209" s="3" t="n"/>
      <c r="J209" s="3" t="n"/>
      <c r="K209" t="inlineStr">
        <is>
          <t>NO</t>
        </is>
      </c>
      <c r="L209" s="3" t="n"/>
    </row>
    <row r="210" ht="42" customHeight="1">
      <c r="A210" t="inlineStr">
        <is>
          <t>F209</t>
        </is>
      </c>
      <c r="B210" t="inlineStr">
        <is>
          <t>2025</t>
        </is>
      </c>
      <c r="C210" t="inlineStr">
        <is>
          <t>Arxiv_CS_2025</t>
        </is>
      </c>
      <c r="D210" t="inlineStr">
        <is>
          <t>2501.09999v1.pdf</t>
        </is>
      </c>
      <c r="E210" s="2" t="inlineStr">
        <is>
          <t>Chawla NV, Bowyer KW, Hall LO, Kegelmeyer WP. SMOTE: synthetic minority over-sampling technique. Journal of artificial intelligence research. 2002;16:321–</t>
        </is>
      </c>
      <c r="F210">
        <f>HYPERLINK("https://scholar.google.com/scholar?q=Chawla+NV%2C+Bowyer+KW%2C+Hall+LO%2C+Kegelmeyer+WP.+SMOTE%3A+synthetic+minority+over-sampling+technique.+Journal+of+artificial+i","search")</f>
        <v/>
      </c>
      <c r="G210" s="3" t="n"/>
      <c r="H210" s="3" t="n"/>
      <c r="I210" s="3" t="n"/>
      <c r="J210" s="3" t="n"/>
      <c r="K210" t="inlineStr">
        <is>
          <t>NO</t>
        </is>
      </c>
      <c r="L210" s="3" t="n"/>
    </row>
    <row r="211" ht="42" customHeight="1">
      <c r="A211" t="inlineStr">
        <is>
          <t>F210</t>
        </is>
      </c>
      <c r="B211" t="inlineStr">
        <is>
          <t>2025</t>
        </is>
      </c>
      <c r="C211" t="inlineStr">
        <is>
          <t>Arxiv_CS_2025</t>
        </is>
      </c>
      <c r="D211" t="inlineStr">
        <is>
          <t>2501.16357v1.pdf</t>
        </is>
      </c>
      <c r="E211" s="2" t="inlineStr">
        <is>
          <t>Li, B., Qi, P., Liu, B., Di, S., Liu, J., Pei, J., Yi, J. and Zhou, B., 2023. Trustworthy ai: From principles to practices. ACM Computing Surveys, 55(9), pp.1-46.</t>
        </is>
      </c>
      <c r="F211">
        <f>HYPERLINK("https://scholar.google.com/scholar?q=Li%2C+B.%2C+Qi%2C+P.%2C+Liu%2C+B.%2C+Di%2C+S.%2C+Liu%2C+J.%2C+Pei%2C+J.%2C+Yi%2C+J.+and+Zhou%2C+B.%2C+2023.+Trustworthy+ai%3A+From+principles+to+practic","search")</f>
        <v/>
      </c>
      <c r="G211" s="3" t="n"/>
      <c r="H211" s="3" t="n"/>
      <c r="I211" s="3" t="n"/>
      <c r="J211" s="3" t="n"/>
      <c r="K211" t="inlineStr">
        <is>
          <t>NO</t>
        </is>
      </c>
      <c r="L211" s="3" t="n"/>
    </row>
    <row r="212" ht="42" customHeight="1">
      <c r="A212" t="inlineStr">
        <is>
          <t>F211</t>
        </is>
      </c>
      <c r="B212" t="inlineStr">
        <is>
          <t>2026</t>
        </is>
      </c>
      <c r="C212" t="inlineStr">
        <is>
          <t>Arxiv_General_Latest</t>
        </is>
      </c>
      <c r="D212" t="inlineStr">
        <is>
          <t>2606.11972v1.pdf</t>
        </is>
      </c>
      <c r="E212" s="2" t="inlineStr">
        <is>
          <t xml:space="preserve">Ackerman, A. S. &amp; Marley, M. S. 2001, ApJ, 556, 872 Allard, N. F., Spiegelman, F., Leininger, T., &amp; Molliere, P. 2019, A&amp;A, 628, A120 Araújo, A. &amp; Valio, A. 2021, ApJ, 907, L5 Baudino, J.-L., Bézard, B., Boccaletti, A., et al. 2015, A&amp;A, 582, A83 Bergin, E. A., Bosman, A., Teague, R., et al. 2024, ApJ, 965, 147 Bernath, P. F. 2020, J. Quant. Spectr. Rad. Transf., 240, 106687 Biller, B. A., Crossfield, I. J. M., Mancini, L., et al. 2013, ApJ, 778, L10 Blain, D., Sánchez-López, A., &amp; Mollière, P. </t>
        </is>
      </c>
      <c r="F212">
        <f>HYPERLINK("https://scholar.google.com/scholar?q=Ackerman%2C+A.+S.+%26+Marley%2C+M.+S.+2001%2C+ApJ%2C+556%2C+872+Allard%2C+N.+F.%2C+Spiegelman%2C+F.%2C+Leininger%2C+T.%2C+%26+Molliere%2C+P.+2019%2C+A","search")</f>
        <v/>
      </c>
      <c r="G212" s="3" t="n"/>
      <c r="H212" s="3" t="n"/>
      <c r="I212" s="3" t="n"/>
      <c r="J212" s="3" t="n"/>
      <c r="K212" t="inlineStr">
        <is>
          <t>NO</t>
        </is>
      </c>
      <c r="L212" s="3" t="n"/>
    </row>
    <row r="213" ht="42" customHeight="1">
      <c r="A213" t="inlineStr">
        <is>
          <t>F212</t>
        </is>
      </c>
      <c r="B213" t="inlineStr">
        <is>
          <t>2016</t>
        </is>
      </c>
      <c r="C213" t="inlineStr">
        <is>
          <t>Arxiv_Bio_2016</t>
        </is>
      </c>
      <c r="D213" t="inlineStr">
        <is>
          <t>1611.04744v2.pdf</t>
        </is>
      </c>
      <c r="E213" s="2" t="inlineStr">
        <is>
          <t xml:space="preserve">A. C. Martin, M. Kaschube, and E. F. Wieschaus. Pulsed contractions of an actin–myosin network drive apical constriction. Nature, 457:495–499, 2009. N. Minc, D. Burgess, and F. Chang. Inﬂuence of cell geometry on division-plane positioning. Cell, 144: 414–426, 2011. N. Murisic, V. Hakim, I.G. Kevrekidis, S.Y. Shvartsman, and B. Audoly. From discrete to continuum models of three-dimensional deformations in epithelial sheets. Biophys. J., 109:154 – 163, 2015. T. Nagai and H. Honda. A dynamic cell </t>
        </is>
      </c>
      <c r="F213">
        <f>HYPERLINK("https://scholar.google.com/scholar?q=A.+C.+Martin%2C+M.+Kaschube%2C+and+E.+F.+Wieschaus.+Pulsed+contractions+of+an+actin%E2%80%93myosin+network+drive+apical+constriction","search")</f>
        <v/>
      </c>
      <c r="G213" s="3" t="n"/>
      <c r="H213" s="3" t="n"/>
      <c r="I213" s="3" t="n"/>
      <c r="J213" s="3" t="n"/>
      <c r="K213" t="inlineStr">
        <is>
          <t>NO</t>
        </is>
      </c>
      <c r="L213" s="3" t="n"/>
    </row>
    <row r="214" ht="42" customHeight="1">
      <c r="A214" t="inlineStr">
        <is>
          <t>F213</t>
        </is>
      </c>
      <c r="B214" t="inlineStr">
        <is>
          <t>2023</t>
        </is>
      </c>
      <c r="C214" t="inlineStr">
        <is>
          <t>NeurIPS_2023</t>
        </is>
      </c>
      <c r="D214" t="inlineStr">
        <is>
          <t>05dc08730e32441edff52b0fa6caab5f-Paper-Conference.pdf</t>
        </is>
      </c>
      <c r="E214" s="2" t="inlineStr">
        <is>
          <t>[12] Y. Wu, M. Xu, Z. Ge, J. Cai, and L. Zhang, “Semi-supervised left atrium segmentation with mutual consistency training,” in MICCAI, pp. 297–306, Springer, 2021.</t>
        </is>
      </c>
      <c r="F214">
        <f>HYPERLINK("https://scholar.google.com/scholar?q=%5B12%5D+Y.+Wu%2C+M.+Xu%2C+Z.+Ge%2C+J.+Cai%2C+and+L.+Zhang%2C+%E2%80%9CSemi-supervised+left+atrium+segmentation+with+mutual+consistency+traini","search")</f>
        <v/>
      </c>
      <c r="G214" s="3" t="n"/>
      <c r="H214" s="3" t="n"/>
      <c r="I214" s="3" t="n"/>
      <c r="J214" s="3" t="n"/>
      <c r="K214" t="inlineStr">
        <is>
          <t>YES</t>
        </is>
      </c>
      <c r="L214" s="3" t="n"/>
    </row>
    <row r="215" ht="42" customHeight="1">
      <c r="A215" t="inlineStr">
        <is>
          <t>F214</t>
        </is>
      </c>
      <c r="B215" t="inlineStr">
        <is>
          <t>2023</t>
        </is>
      </c>
      <c r="C215" t="inlineStr">
        <is>
          <t>Arxiv_Bio_2023</t>
        </is>
      </c>
      <c r="D215" t="inlineStr">
        <is>
          <t>2302.05789v1.pdf</t>
        </is>
      </c>
      <c r="E215" s="2" t="inlineStr">
        <is>
          <t xml:space="preserve">Devanny AJ, Vancura MB, Kaufman L.J. (2021) Exploiting differential effects of actomyosin contractility  to control cell sorting among breast cancer cells. Mol Biol Cell 32:ar24, 1-15, DOI: 10.1091/mbc.E21- 07-0357.  Efremov YM, Zurina IM, Presniakova VS, Kosheleva NV, Butnaru DV, Svistunov AA, Rochev YA,  Timashev PS (2021) Mechanical properties of cell sheets and spheroids: the link between single cells  and complex tissues. Biophys Rev 13:541–561, doi.org/10.1007/s12551-021-00821-w.  Emon B, </t>
        </is>
      </c>
      <c r="F215">
        <f>HYPERLINK("https://scholar.google.com/scholar?q=Devanny+AJ%2C+Vancura+MB%2C+Kaufman+L.J.+%282021%29+Exploiting+differential+effects+of+actomyosin+contractility++to+control+cell","search")</f>
        <v/>
      </c>
      <c r="G215" s="3" t="n"/>
      <c r="H215" s="3" t="n"/>
      <c r="I215" s="3" t="n"/>
      <c r="J215" s="3" t="n"/>
      <c r="K215" t="inlineStr">
        <is>
          <t>YES</t>
        </is>
      </c>
      <c r="L215" s="3" t="n"/>
    </row>
    <row r="216" ht="42" customHeight="1">
      <c r="A216" t="inlineStr">
        <is>
          <t>F215</t>
        </is>
      </c>
      <c r="B216" t="inlineStr">
        <is>
          <t>2016</t>
        </is>
      </c>
      <c r="C216" t="inlineStr">
        <is>
          <t>NeurIPS_2016</t>
        </is>
      </c>
      <c r="D216" t="inlineStr">
        <is>
          <t>37bc2f75bf1bcfe8450a1a41c200364c-Paper.pdf</t>
        </is>
      </c>
      <c r="E216" s="2" t="inlineStr">
        <is>
          <t>Matthew D Zeiler and Rob Fergus. Visualizing and understanding convolutional networks. In Computer Vision–ECCV 2014, pages 818–833. Springer, 2014. 9</t>
        </is>
      </c>
      <c r="F216">
        <f>HYPERLINK("https://scholar.google.com/scholar?q=Matthew+D+Zeiler+and+Rob+Fergus.+Visualizing+and+understanding+convolutional+networks.+In+Computer+Vision%E2%80%93ECCV+2014%2C+pag","search")</f>
        <v/>
      </c>
      <c r="G216" s="3" t="n"/>
      <c r="H216" s="3" t="n"/>
      <c r="I216" s="3" t="n"/>
      <c r="J216" s="3" t="n"/>
      <c r="K216" t="inlineStr">
        <is>
          <t>NO</t>
        </is>
      </c>
      <c r="L216" s="3" t="n"/>
    </row>
    <row r="217" ht="42" customHeight="1">
      <c r="A217" t="inlineStr">
        <is>
          <t>F216</t>
        </is>
      </c>
      <c r="B217" t="inlineStr">
        <is>
          <t>2023</t>
        </is>
      </c>
      <c r="C217" t="inlineStr">
        <is>
          <t>NeurIPS_2023</t>
        </is>
      </c>
      <c r="D217" t="inlineStr">
        <is>
          <t>05fe0c633ae41756540dba2a99a36306-Paper-Conference.pdf</t>
        </is>
      </c>
      <c r="E217" s="2" t="inlineStr">
        <is>
          <t>Zhiyuan Wang, Zeliang Zhang, Siyuan Liang, and Xiaosen Wang. Diversifying the High-level Features for better Adversarial Transferability. In Proceedings of the British Machine Vision Conference, 2023.</t>
        </is>
      </c>
      <c r="F217">
        <f>HYPERLINK("https://scholar.google.com/scholar?q=Zhiyuan+Wang%2C+Zeliang+Zhang%2C+Siyuan+Liang%2C+and+Xiaosen+Wang.+Diversifying+the+High-level+Features+for+better+Adversarial","search")</f>
        <v/>
      </c>
      <c r="G217" s="3" t="n"/>
      <c r="H217" s="3" t="n"/>
      <c r="I217" s="3" t="n"/>
      <c r="J217" s="3" t="n"/>
      <c r="K217" t="inlineStr">
        <is>
          <t>NO</t>
        </is>
      </c>
      <c r="L217" s="3" t="n"/>
    </row>
    <row r="218" ht="42" customHeight="1">
      <c r="A218" t="inlineStr">
        <is>
          <t>F217</t>
        </is>
      </c>
      <c r="B218" t="inlineStr">
        <is>
          <t>2023</t>
        </is>
      </c>
      <c r="C218" t="inlineStr">
        <is>
          <t>NeurIPS_2023</t>
        </is>
      </c>
      <c r="D218" t="inlineStr">
        <is>
          <t>082d3d795520c43214da5123e56a3a34-Paper-Conference.pdf</t>
        </is>
      </c>
      <c r="E218" s="2" t="inlineStr">
        <is>
          <t>Peng Wang, Yuan Liu, Zhaoxi Chen, Lingjie Liu, Ziwei Liu, Taku Komura, Christian Theobalt, and Wenping Wang. F2-nerf: Fast neural radiance field training with free camera trajectories. In Proceedings of the IEEE/CVF Conference on Computer Vision and Pattern Recognition (CVPR), 2023.</t>
        </is>
      </c>
      <c r="F218">
        <f>HYPERLINK("https://scholar.google.com/scholar?q=Peng+Wang%2C+Yuan+Liu%2C+Zhaoxi+Chen%2C+Lingjie+Liu%2C+Ziwei+Liu%2C+Taku+Komura%2C+Christian+Theobalt%2C+and+Wenping+Wang.+F2-nerf%3A+Fa","search")</f>
        <v/>
      </c>
      <c r="G218" s="3" t="n"/>
      <c r="H218" s="3" t="n"/>
      <c r="I218" s="3" t="n"/>
      <c r="J218" s="3" t="n"/>
      <c r="K218" t="inlineStr">
        <is>
          <t>NO</t>
        </is>
      </c>
      <c r="L218" s="3" t="n"/>
    </row>
    <row r="219" ht="42" customHeight="1">
      <c r="A219" t="inlineStr">
        <is>
          <t>F218</t>
        </is>
      </c>
      <c r="B219" t="inlineStr">
        <is>
          <t>2023</t>
        </is>
      </c>
      <c r="C219" t="inlineStr">
        <is>
          <t>NeurIPS_2023</t>
        </is>
      </c>
      <c r="D219" t="inlineStr">
        <is>
          <t>0b06c8673ebb453e5e468f7743d8f54e-Paper-Conference.pdf</t>
        </is>
      </c>
      <c r="E219" s="2" t="inlineStr">
        <is>
          <t>Qika Lin, Jun Liu, Fangzhi Xu, Yudai Pan, Yifan Zhu, Lingling Zhang, and Tianzhe Zhao. Incorporating context graph with logical reasoning for inductive relation prediction. In Pro- ceedings of the 45th International ACM SIGIR Conference on Research and Development in Information Retrieval, pages 893–903, 2022.</t>
        </is>
      </c>
      <c r="F219">
        <f>HYPERLINK("https://scholar.google.com/scholar?q=Qika+Lin%2C+Jun+Liu%2C+Fangzhi+Xu%2C+Yudai+Pan%2C+Yifan+Zhu%2C+Lingling+Zhang%2C+and+Tianzhe+Zhao.+Incorporating+context+graph+with+","search")</f>
        <v/>
      </c>
      <c r="G219" s="3" t="n"/>
      <c r="H219" s="3" t="n"/>
      <c r="I219" s="3" t="n"/>
      <c r="J219" s="3" t="n"/>
      <c r="K219" t="inlineStr">
        <is>
          <t>NO</t>
        </is>
      </c>
      <c r="L219" s="3" t="n"/>
    </row>
    <row r="220" ht="42" customHeight="1">
      <c r="A220" t="inlineStr">
        <is>
          <t>F219</t>
        </is>
      </c>
      <c r="B220" t="inlineStr">
        <is>
          <t>2025</t>
        </is>
      </c>
      <c r="C220" t="inlineStr">
        <is>
          <t>Arxiv_CS_2025</t>
        </is>
      </c>
      <c r="D220" t="inlineStr">
        <is>
          <t>2503.10603v3.pdf</t>
        </is>
      </c>
      <c r="E220" s="2" t="inlineStr">
        <is>
          <t>Dimitrios Kollias and Stefanos Zafeiriou. Analysing af- fective behavior in the second abaw2 competition. In Proceedings of the IEEE/CVF International Conference on Computer Vision, pages 3652–3660, 2021.</t>
        </is>
      </c>
      <c r="F220">
        <f>HYPERLINK("https://scholar.google.com/scholar?q=Dimitrios+Kollias+and+Stefanos+Zafeiriou.+Analysing+af-+fective+behavior+in+the+second+abaw2+competition.+In+Proceedings","search")</f>
        <v/>
      </c>
      <c r="G220" s="3" t="n"/>
      <c r="H220" s="3" t="n"/>
      <c r="I220" s="3" t="n"/>
      <c r="J220" s="3" t="n"/>
      <c r="K220" t="inlineStr">
        <is>
          <t>NO</t>
        </is>
      </c>
      <c r="L220" s="3" t="n"/>
    </row>
    <row r="221" ht="42" customHeight="1">
      <c r="A221" t="inlineStr">
        <is>
          <t>F220</t>
        </is>
      </c>
      <c r="B221" t="inlineStr">
        <is>
          <t>2023</t>
        </is>
      </c>
      <c r="C221" t="inlineStr">
        <is>
          <t>Arxiv_Bio_2023</t>
        </is>
      </c>
      <c r="D221" t="inlineStr">
        <is>
          <t>2305.13338v3.pdf</t>
        </is>
      </c>
      <c r="E221" s="2" t="inlineStr">
        <is>
          <t xml:space="preserve">Alliance of Genome Resources Consortium. (2020). Alliance of Genome Resources Portal:  unified model organism research platform. Nucleic Acids Research, 48(D1), D650–D658. Baker, E., Bubier, J. A., Reynolds, T., Langston, M. A., &amp; Chesler, E. J. (2016). GeneWeaver:  data driven alignment of cross-species genomics in biology and disease. Nucleic Acids  Research, 44(D1), D555–D559. Ballouz, S., Pavlidis, P., &amp; Gillis, J. (2017). Using predictive specificity to determine when gene  set analysis is </t>
        </is>
      </c>
      <c r="F221">
        <f>HYPERLINK("https://scholar.google.com/scholar?q=Alliance+of+Genome+Resources+Consortium.+%282020%29.+Alliance+of+Genome+Resources+Portal%3A++unified+model+organism+research+p","search")</f>
        <v/>
      </c>
      <c r="G221" s="3" t="n"/>
      <c r="H221" s="3" t="n"/>
      <c r="I221" s="3" t="n"/>
      <c r="J221" s="3" t="n"/>
      <c r="K221" t="inlineStr">
        <is>
          <t>YES</t>
        </is>
      </c>
      <c r="L221" s="3" t="n"/>
    </row>
    <row r="222" ht="42" customHeight="1">
      <c r="A222" t="inlineStr">
        <is>
          <t>F221</t>
        </is>
      </c>
      <c r="B222" t="inlineStr">
        <is>
          <t>2016</t>
        </is>
      </c>
      <c r="C222" t="inlineStr">
        <is>
          <t>NeurIPS_2016</t>
        </is>
      </c>
      <c r="D222" t="inlineStr">
        <is>
          <t>0245952ecff55018e2a459517fdb40e3-Paper.pdf</t>
        </is>
      </c>
      <c r="E222" s="2" t="inlineStr">
        <is>
          <t>J. Lafferty, A. McCallum, and F. Pereira. Conditional random ﬁelds: Probabilistic models for segmenting and labeling sequence data. ICML, 2001.</t>
        </is>
      </c>
      <c r="F222">
        <f>HYPERLINK("https://scholar.google.com/scholar?q=J.+Lafferty%2C+A.+McCallum%2C+and+F.+Pereira.+Conditional+random+%EF%AC%81elds%3A+Probabilistic+models+for+segmenting+and+labeling+seq","search")</f>
        <v/>
      </c>
      <c r="G222" s="3" t="n"/>
      <c r="H222" s="3" t="n"/>
      <c r="I222" s="3" t="n"/>
      <c r="J222" s="3" t="n"/>
      <c r="K222" t="inlineStr">
        <is>
          <t>NO</t>
        </is>
      </c>
      <c r="L222" s="3" t="n"/>
    </row>
    <row r="223" ht="42" customHeight="1">
      <c r="A223" t="inlineStr">
        <is>
          <t>F222</t>
        </is>
      </c>
      <c r="B223" t="inlineStr">
        <is>
          <t>2026</t>
        </is>
      </c>
      <c r="C223" t="inlineStr">
        <is>
          <t>Arxiv_General_Latest</t>
        </is>
      </c>
      <c r="D223" t="inlineStr">
        <is>
          <t>2604.24759v1.pdf</t>
        </is>
      </c>
      <c r="E223" s="2" t="inlineStr">
        <is>
          <t>Abe, D., Inoue, T., Enokiya, R., &amp; Fukui, Y. 2022, ApJ, 940, 106 Ali, A., Harries, T. J., &amp; Douglas, T. A. 2018, MNRAS, 477, 5422 Asplund, M., Grevesse, N., Sauval, A. J., &amp; Scott, P. 2009, ARA&amp;A, 47, 481 Barnes, A. T., Watkins, E. J., Meidt, S. E., et al. 2023, ApJ, 944, L22 Bazzi, Z., Colombo, D., Bigiel, F., et al. 2026, A&amp;A, 706, A40 Belﬁore, F., Leroy, A. K., Sun, J., et al. 2023, A&amp;A, 670, A67 Bigiel, F., Leroy, A., Walter, F., et al. 2008, AJ, 136, 2846 Binney, J. 2020, MNRAS, 496, 767 Bl</t>
        </is>
      </c>
      <c r="F223">
        <f>HYPERLINK("https://scholar.google.com/scholar?q=Abe%2C+D.%2C+Inoue%2C+T.%2C+Enokiya%2C+R.%2C+%26+Fukui%2C+Y.+2022%2C+ApJ%2C+940%2C+106+Ali%2C+A.%2C+Harries%2C+T.+J.%2C+%26+Douglas%2C+T.+A.+2018%2C+MNRAS%2C+","search")</f>
        <v/>
      </c>
      <c r="G223" s="3" t="n"/>
      <c r="H223" s="3" t="n"/>
      <c r="I223" s="3" t="n"/>
      <c r="J223" s="3" t="n"/>
      <c r="K223" t="inlineStr">
        <is>
          <t>NO</t>
        </is>
      </c>
      <c r="L223" s="3" t="n"/>
    </row>
    <row r="224" ht="42" customHeight="1">
      <c r="A224" t="inlineStr">
        <is>
          <t>F223</t>
        </is>
      </c>
      <c r="B224" t="inlineStr">
        <is>
          <t>2016</t>
        </is>
      </c>
      <c r="C224" t="inlineStr">
        <is>
          <t>NeurIPS_2016</t>
        </is>
      </c>
      <c r="D224" t="inlineStr">
        <is>
          <t>20c9f5700da1088260df60fcc5df2b53-Paper.pdf</t>
        </is>
      </c>
      <c r="E224" s="2" t="inlineStr">
        <is>
          <t>Radford M Neal and Geoffrey E Hinton. A view of the em algorithm that justiﬁes incremental, sparse, and other variants. In Learning in graphical models, pages 355–368. Springer, 1998.</t>
        </is>
      </c>
      <c r="F224">
        <f>HYPERLINK("https://scholar.google.com/scholar?q=Radford+M+Neal+and+Geoffrey+E+Hinton.+A+view+of+the+em+algorithm+that+justi%EF%AC%81es+incremental%2C+sparse%2C+and+other+variants.+","search")</f>
        <v/>
      </c>
      <c r="G224" s="3" t="n"/>
      <c r="H224" s="3" t="n"/>
      <c r="I224" s="3" t="n"/>
      <c r="J224" s="3" t="n"/>
      <c r="K224" t="inlineStr">
        <is>
          <t>YES</t>
        </is>
      </c>
      <c r="L224" s="3" t="n"/>
    </row>
    <row r="225" ht="42" customHeight="1">
      <c r="A225" t="inlineStr">
        <is>
          <t>F224</t>
        </is>
      </c>
      <c r="B225" t="inlineStr">
        <is>
          <t>2025</t>
        </is>
      </c>
      <c r="C225" t="inlineStr">
        <is>
          <t>Arxiv_CS_2025</t>
        </is>
      </c>
      <c r="D225" t="inlineStr">
        <is>
          <t>2501.08922v2.pdf</t>
        </is>
      </c>
      <c r="E225" s="2" t="inlineStr">
        <is>
          <t>Dongsen Ye, Kunpeng Zhu, Jerry Ying Hsi Fuh, Yingjie Zhang, and Hong Geok Soon. The investigation of plume and spatter signatures on melted states in selective laser melting. Optics &amp; Laser Technology, 111:395–406, 2019.</t>
        </is>
      </c>
      <c r="F225">
        <f>HYPERLINK("https://scholar.google.com/scholar?q=Dongsen+Ye%2C+Kunpeng+Zhu%2C+Jerry+Ying+Hsi+Fuh%2C+Yingjie+Zhang%2C+and+Hong+Geok+Soon.+The+investigation+of+plume+and+spatter+s","search")</f>
        <v/>
      </c>
      <c r="G225" s="3" t="n"/>
      <c r="H225" s="3" t="n"/>
      <c r="I225" s="3" t="n"/>
      <c r="J225" s="3" t="n"/>
      <c r="K225" t="inlineStr">
        <is>
          <t>NO</t>
        </is>
      </c>
      <c r="L225" s="3" t="n"/>
    </row>
    <row r="226" ht="42" customHeight="1">
      <c r="A226" t="inlineStr">
        <is>
          <t>F225</t>
        </is>
      </c>
      <c r="B226" t="inlineStr">
        <is>
          <t>2023</t>
        </is>
      </c>
      <c r="C226" t="inlineStr">
        <is>
          <t>Arxiv_CS_2023</t>
        </is>
      </c>
      <c r="D226" t="inlineStr">
        <is>
          <t>2312.12341v2.pdf</t>
        </is>
      </c>
      <c r="E226" s="2" t="inlineStr">
        <is>
          <t>Ab´ıo, I.; Nieuwenhuis, R.; Oliveras, A.; and Rodr´ıguez- carbonell, E. 2011. BDDs for Pseudo-Boolean Constraints - Revisited. In International Conference on Theory and Ap- plications of Satisfiability Testing. Ab´ıo, I.; Nieuwenhuis, R.; Oliveras, A.; and Rodr´ıguez- carbonell, E. 2013. A Parametric Approach for Smaller and Better Encodings of Cardinality Constraints. In Interna- tional Conference on Principles and Practice of Constraint Programming. Aziz, R. A.; Chu, G.; Muise, C.; and Stuckey</t>
        </is>
      </c>
      <c r="F226">
        <f>HYPERLINK("https://scholar.google.com/scholar?q=Ab%C2%B4%C4%B1o%2C+I.%3B+Nieuwenhuis%2C+R.%3B+Oliveras%2C+A.%3B+and+Rodr%C2%B4%C4%B1guez-+carbonell%2C+E.+2011.+BDDs+for+Pseudo-Boolean+Constraints+-+Revi","search")</f>
        <v/>
      </c>
      <c r="G226" s="3" t="n"/>
      <c r="H226" s="3" t="n"/>
      <c r="I226" s="3" t="n"/>
      <c r="J226" s="3" t="n"/>
      <c r="K226" t="inlineStr">
        <is>
          <t>NO</t>
        </is>
      </c>
      <c r="L226" s="3" t="n"/>
    </row>
    <row r="227" ht="42" customHeight="1">
      <c r="A227" t="inlineStr">
        <is>
          <t>F226</t>
        </is>
      </c>
      <c r="B227" t="inlineStr">
        <is>
          <t>2016</t>
        </is>
      </c>
      <c r="C227" t="inlineStr">
        <is>
          <t>NeurIPS_2016</t>
        </is>
      </c>
      <c r="D227" t="inlineStr">
        <is>
          <t>076a0c97d09cf1a0ec3e19c7f2529f2b-Paper.pdf</t>
        </is>
      </c>
      <c r="E227" s="2" t="inlineStr">
        <is>
          <t>Geoffrey E Hinton and Drew Van Camp. Keeping the neural networks simple by minimizing the description length of the weights. In COLT, pages 5–13. ACM, 1993.</t>
        </is>
      </c>
      <c r="F227">
        <f>HYPERLINK("https://scholar.google.com/scholar?q=Geoffrey+E+Hinton+and+Drew+Van+Camp.+Keeping+the+neural+networks+simple+by+minimizing+the+description+length+of+the+weig","search")</f>
        <v/>
      </c>
      <c r="G227" s="3" t="n"/>
      <c r="H227" s="3" t="n"/>
      <c r="I227" s="3" t="n"/>
      <c r="J227" s="3" t="n"/>
      <c r="K227" t="inlineStr">
        <is>
          <t>YES</t>
        </is>
      </c>
      <c r="L227" s="3" t="n"/>
    </row>
    <row r="228" ht="42" customHeight="1">
      <c r="A228" t="inlineStr">
        <is>
          <t>F227</t>
        </is>
      </c>
      <c r="B228" t="inlineStr">
        <is>
          <t>2016</t>
        </is>
      </c>
      <c r="C228" t="inlineStr">
        <is>
          <t>Arxiv_Bio_2016</t>
        </is>
      </c>
      <c r="D228" t="inlineStr">
        <is>
          <t>1602.03214v2.pdf</t>
        </is>
      </c>
      <c r="E228" s="2" t="inlineStr">
        <is>
          <t>Foundation, I. M. Understanding Serum Free Light Chain Assays. http://myeloma.org/pdfs/ U-Freelite-Eng2011_g2web.pdf, North Hollywood, California. Figure 1. Nephron anatomy. The nephrons are made up of tubules, and the proximal tubule cells in our model line the proximal convoluted tubule immediately after the blood is ﬁltered through Bowman’s capsule. We will model the amount of proximal tubule cells lining the proximal convoluted tubule throughout the process of proximal tubule cell injury via</t>
        </is>
      </c>
      <c r="F228">
        <f>HYPERLINK("https://scholar.google.com/scholar?q=Foundation%2C+I.+M.+Understanding+Serum+Free+Light+Chain+Assays.+http%3A%2F%2Fmyeloma.org%2Fpdfs%2F+U-Freelite-Eng2011_g2web.pdf%2C+No","search")</f>
        <v/>
      </c>
      <c r="G228" s="3" t="n"/>
      <c r="H228" s="3" t="n"/>
      <c r="I228" s="3" t="n"/>
      <c r="J228" s="3" t="n"/>
      <c r="K228" t="inlineStr">
        <is>
          <t>NO</t>
        </is>
      </c>
      <c r="L228" s="3" t="n"/>
    </row>
    <row r="229" ht="42" customHeight="1">
      <c r="A229" t="inlineStr">
        <is>
          <t>F228</t>
        </is>
      </c>
      <c r="B229" t="inlineStr">
        <is>
          <t>2023</t>
        </is>
      </c>
      <c r="C229" t="inlineStr">
        <is>
          <t>NeurIPS_2023</t>
        </is>
      </c>
      <c r="D229" t="inlineStr">
        <is>
          <t>098491b37deebbe6c007e69815729e09-Paper-Conference.pdf</t>
        </is>
      </c>
      <c r="E229" s="2" t="inlineStr">
        <is>
          <t>Kha Gia Quach, Pha Nguyen, Huu Le, Thanh-Dat Truong, Chi Nhan Duong, Minh-Triet Tran, and Khoa Luu. Dyglip: A dynamic graph model with link prediction for accurate multi-camera multiple object tracking. In Proceedings of the IEEE/CVF Conference on Computer Vision and Pattern Recognition, pages 13784–13793, 2021. 2, 4</t>
        </is>
      </c>
      <c r="F229">
        <f>HYPERLINK("https://scholar.google.com/scholar?q=Kha+Gia+Quach%2C+Pha+Nguyen%2C+Huu+Le%2C+Thanh-Dat+Truong%2C+Chi+Nhan+Duong%2C+Minh-Triet+Tran%2C+and+Khoa+Luu.+Dyglip%3A+A+dynamic+gr","search")</f>
        <v/>
      </c>
      <c r="G229" s="3" t="n"/>
      <c r="H229" s="3" t="n"/>
      <c r="I229" s="3" t="n"/>
      <c r="J229" s="3" t="n"/>
      <c r="K229" t="inlineStr">
        <is>
          <t>NO</t>
        </is>
      </c>
      <c r="L229" s="3" t="n"/>
    </row>
    <row r="230" ht="42" customHeight="1">
      <c r="A230" t="inlineStr">
        <is>
          <t>F229</t>
        </is>
      </c>
      <c r="B230" t="inlineStr">
        <is>
          <t>2025</t>
        </is>
      </c>
      <c r="C230" t="inlineStr">
        <is>
          <t>Arxiv_CS_2025</t>
        </is>
      </c>
      <c r="D230" t="inlineStr">
        <is>
          <t>2501.08922v2.pdf</t>
        </is>
      </c>
      <c r="E230" s="2" t="inlineStr">
        <is>
          <t>AmirPouya Hemmasian, Francis Ogoke, Parand Akbari, Jonathan Malen, Jack Beuth, and Amir Barati Farimani. Surrogate modeling of melt pool temperature field using deep learning. Additive Manufac- turing Letters, 5:100123, 2023.</t>
        </is>
      </c>
      <c r="F230">
        <f>HYPERLINK("https://scholar.google.com/scholar?q=AmirPouya+Hemmasian%2C+Francis+Ogoke%2C+Parand+Akbari%2C+Jonathan+Malen%2C+Jack+Beuth%2C+and+Amir+Barati+Farimani.+Surrogate+model","search")</f>
        <v/>
      </c>
      <c r="G230" s="3" t="n"/>
      <c r="H230" s="3" t="n"/>
      <c r="I230" s="3" t="n"/>
      <c r="J230" s="3" t="n"/>
      <c r="K230" t="inlineStr">
        <is>
          <t>NO</t>
        </is>
      </c>
      <c r="L230" s="3" t="n"/>
    </row>
    <row r="231" ht="42" customHeight="1">
      <c r="A231" t="inlineStr">
        <is>
          <t>F230</t>
        </is>
      </c>
      <c r="B231" t="inlineStr">
        <is>
          <t>2016</t>
        </is>
      </c>
      <c r="C231" t="inlineStr">
        <is>
          <t>NeurIPS_2016</t>
        </is>
      </c>
      <c r="D231" t="inlineStr">
        <is>
          <t>0245952ecff55018e2a459517fdb40e3-Paper.pdf</t>
        </is>
      </c>
      <c r="E231" s="2" t="inlineStr">
        <is>
          <t>E. Denton, S. Chintala, A. Szlam, and R. Fergus. Deep generative image models using a laplacian pyramid of adversarial networks. NIPS, 2015.</t>
        </is>
      </c>
      <c r="F231">
        <f>HYPERLINK("https://scholar.google.com/scholar?q=E.+Denton%2C+S.+Chintala%2C+A.+Szlam%2C+and+R.+Fergus.+Deep+generative+image+models+using+a+laplacian+pyramid+of+adversarial+n","search")</f>
        <v/>
      </c>
      <c r="G231" s="3" t="n"/>
      <c r="H231" s="3" t="n"/>
      <c r="I231" s="3" t="n"/>
      <c r="J231" s="3" t="n"/>
      <c r="K231" t="inlineStr">
        <is>
          <t>NO</t>
        </is>
      </c>
      <c r="L231" s="3" t="n"/>
    </row>
    <row r="232" ht="42" customHeight="1">
      <c r="A232" t="inlineStr">
        <is>
          <t>F231</t>
        </is>
      </c>
      <c r="B232" t="inlineStr">
        <is>
          <t>2023</t>
        </is>
      </c>
      <c r="C232" t="inlineStr">
        <is>
          <t>NeurIPS_2023</t>
        </is>
      </c>
      <c r="D232" t="inlineStr">
        <is>
          <t>081b08068e4733ae3e7ad019fe8d172f-Paper-Conference.pdf</t>
        </is>
      </c>
      <c r="E232" s="2" t="inlineStr">
        <is>
          <t>Peiyan Dong, Zhenglun Kong, Xin Meng, Peng Zhang, Hao Tang, Yanzhi Wang, and Chih-Hsien Chou. Speeddetr: Speed-aware transformers for end-to-end object detection. 2023.</t>
        </is>
      </c>
      <c r="F232">
        <f>HYPERLINK("https://scholar.google.com/scholar?q=Peiyan+Dong%2C+Zhenglun+Kong%2C+Xin+Meng%2C+Peng+Zhang%2C+Hao+Tang%2C+Yanzhi+Wang%2C+and+Chih-Hsien+Chou.+Speeddetr%3A+Speed-aware+tra","search")</f>
        <v/>
      </c>
      <c r="G232" s="3" t="n"/>
      <c r="H232" s="3" t="n"/>
      <c r="I232" s="3" t="n"/>
      <c r="J232" s="3" t="n"/>
      <c r="K232" t="inlineStr">
        <is>
          <t>NO</t>
        </is>
      </c>
      <c r="L232" s="3" t="n"/>
    </row>
    <row r="233" ht="42" customHeight="1">
      <c r="A233" t="inlineStr">
        <is>
          <t>F232</t>
        </is>
      </c>
      <c r="B233" t="inlineStr">
        <is>
          <t>2016</t>
        </is>
      </c>
      <c r="C233" t="inlineStr">
        <is>
          <t>NeurIPS_2016</t>
        </is>
      </c>
      <c r="D233" t="inlineStr">
        <is>
          <t>06409663226af2f3114485aa4e0a23b4-Paper.pdf</t>
        </is>
      </c>
      <c r="E233" s="2" t="inlineStr">
        <is>
          <t>J. Dai, K. He, and J. Sun. Instance-aware semantic segmentation via multi-task network cascades. In CVPR, 2016.</t>
        </is>
      </c>
      <c r="F233">
        <f>HYPERLINK("https://scholar.google.com/scholar?q=J.+Dai%2C+K.+He%2C+and+J.+Sun.+Instance-aware+semantic+segmentation+via+multi-task+network+cascades.+In+CVPR%2C+2016.","search")</f>
        <v/>
      </c>
      <c r="G233" s="3" t="n"/>
      <c r="H233" s="3" t="n"/>
      <c r="I233" s="3" t="n"/>
      <c r="J233" s="3" t="n"/>
      <c r="K233" t="inlineStr">
        <is>
          <t>YES</t>
        </is>
      </c>
      <c r="L233" s="3" t="n"/>
    </row>
    <row r="234" ht="42" customHeight="1">
      <c r="A234" t="inlineStr">
        <is>
          <t>F233</t>
        </is>
      </c>
      <c r="B234" t="inlineStr">
        <is>
          <t>2023</t>
        </is>
      </c>
      <c r="C234" t="inlineStr">
        <is>
          <t>Arxiv_CS_2023</t>
        </is>
      </c>
      <c r="D234" t="inlineStr">
        <is>
          <t>2311.09114v2.pdf</t>
        </is>
      </c>
      <c r="E234" s="2" t="inlineStr">
        <is>
          <t>" according to..." prompting language mod- els improves quoting from pre-training data. arXiv preprint arXiv:2305.13252. Kaiyu Yang, Jia Deng, and Danqi Chen. 2022. Gen- erating natural language proofs with verifier-guided search. arXiv preprint arXiv:2205.12443. Zhilin Yang, Peng Qi, Saizheng Zhang, Yoshua Ben- gio, William W Cohen, Ruslan Salakhutdinov, and Christopher D Manning. 2018. Hotpotqa: A dataset for diverse, explainable multi-hop question answer- ing. arXiv preprint arXiv:1809.09600.</t>
        </is>
      </c>
      <c r="F234">
        <f>HYPERLINK("https://scholar.google.com/scholar?q=%22+according+to...%22+prompting+language+mod-+els+improves+quoting+from+pre-training+data.+arXiv+preprint+arXiv%3A2305.13252.","search")</f>
        <v/>
      </c>
      <c r="G234" s="3" t="n"/>
      <c r="H234" s="3" t="n"/>
      <c r="I234" s="3" t="n"/>
      <c r="J234" s="3" t="n"/>
      <c r="K234" t="inlineStr">
        <is>
          <t>YES</t>
        </is>
      </c>
      <c r="L234" s="3" t="n"/>
    </row>
    <row r="235" ht="42" customHeight="1">
      <c r="A235" t="inlineStr">
        <is>
          <t>F234</t>
        </is>
      </c>
      <c r="B235" t="inlineStr">
        <is>
          <t>2023</t>
        </is>
      </c>
      <c r="C235" t="inlineStr">
        <is>
          <t>Arxiv_CS_2023</t>
        </is>
      </c>
      <c r="D235" t="inlineStr">
        <is>
          <t>2312.03721v2.pdf</t>
        </is>
      </c>
      <c r="E235" s="2" t="inlineStr">
        <is>
          <t>https://www.lesswrong.com/posts/bNCDexejSZpkuu3yz/you-can-use-gpt-4-to-create- prompt-injections-against-gpt-4. Bai, Y., Kadavath, S., Kundu, S., Askell, A., Kernion, J., Jones, A., Chen, A., Goldie, A., Mirhoseini, A., McKinnon, C., Chen, C., Olsson, C., Olah, C., Hernandez, D., Drain, D., Ganguli, D., Li, D., Tran-Johnson, E., Perez, E., Kerr, J., Mueller, J., Ladish, J., Landau, J., Ndousse, K., Lukosuite, K., Lovitt, L., Sellitto, M., Elhage, N., Schiefer, N., Mercado, N., DasSarma, N., Lase</t>
        </is>
      </c>
      <c r="F235">
        <f>HYPERLINK("https://scholar.google.com/scholar?q=https%3A%2F%2Fwww.lesswrong.com%2Fposts%2FbNCDexejSZpkuu3yz%2Fyou-can-use-gpt-4-to-create-+prompt-injections-against-gpt-4.+Bai%2C+Y.%2C","search")</f>
        <v/>
      </c>
      <c r="G235" s="3" t="n"/>
      <c r="H235" s="3" t="n"/>
      <c r="I235" s="3" t="n"/>
      <c r="J235" s="3" t="n"/>
      <c r="K235" t="inlineStr">
        <is>
          <t>NO</t>
        </is>
      </c>
      <c r="L235" s="3" t="n"/>
    </row>
    <row r="236" ht="42" customHeight="1">
      <c r="A236" t="inlineStr">
        <is>
          <t>F235</t>
        </is>
      </c>
      <c r="B236" t="inlineStr">
        <is>
          <t>2026</t>
        </is>
      </c>
      <c r="C236" t="inlineStr">
        <is>
          <t>Arxiv_General_Latest</t>
        </is>
      </c>
      <c r="D236" t="inlineStr">
        <is>
          <t>2603.26310v1.pdf</t>
        </is>
      </c>
      <c r="E236" s="2" t="inlineStr">
        <is>
          <t>T. C. Blanken, F. Felici, C. Galperti, O. Kudláček, F. Janky, A. Mlynek, L. Giannone, P. T. Lang, W. Treutterer, W. P. Heemels, M. R. de Baar, Model-based real-time plasma electron density pro- file estimation and control on ASDEX Upgrade and TCV, Fusion Engineering and Design 147 (2019). https://doi.org/10.1016/j.fusengdes.2019.05.030.</t>
        </is>
      </c>
      <c r="F236">
        <f>HYPERLINK("https://scholar.google.com/scholar?q=T.+C.+Blanken%2C+F.+Felici%2C+C.+Galperti%2C+O.+Kudl%C3%A1%C4%8Dek%2C+F.+Janky%2C+A.+Mlynek%2C+L.+Giannone%2C+P.+T.+Lang%2C+W.+Treutterer%2C+W.+P.+H","search")</f>
        <v/>
      </c>
      <c r="G236" s="3" t="n"/>
      <c r="H236" s="3" t="n"/>
      <c r="I236" s="3" t="n"/>
      <c r="J236" s="3" t="n"/>
      <c r="K236" t="inlineStr">
        <is>
          <t>YES</t>
        </is>
      </c>
      <c r="L236" s="3" t="n"/>
    </row>
    <row r="237" ht="42" customHeight="1">
      <c r="A237" t="inlineStr">
        <is>
          <t>F236</t>
        </is>
      </c>
      <c r="B237" t="inlineStr">
        <is>
          <t>2025</t>
        </is>
      </c>
      <c r="C237" t="inlineStr">
        <is>
          <t>Arxiv_CS_2025</t>
        </is>
      </c>
      <c r="D237" t="inlineStr">
        <is>
          <t>2501.15648v1.pdf</t>
        </is>
      </c>
      <c r="E237" s="2" t="inlineStr">
        <is>
          <t>Pranjal Kumar, Siddhartha Chauhan, and Lalit Kumar Awasthi. Human pose estimation using deep learning: re- view, methodologies, progress and future research direc- tions. International Journal of Multimedia Information Re- trieval, 11(4):489–521, 2022. 2</t>
        </is>
      </c>
      <c r="F237">
        <f>HYPERLINK("https://scholar.google.com/scholar?q=Pranjal+Kumar%2C+Siddhartha+Chauhan%2C+and+Lalit+Kumar+Awasthi.+Human+pose+estimation+using+deep+learning%3A+re-+view%2C+methodo","search")</f>
        <v/>
      </c>
      <c r="G237" s="3" t="n"/>
      <c r="H237" s="3" t="n"/>
      <c r="I237" s="3" t="n"/>
      <c r="J237" s="3" t="n"/>
      <c r="K237" t="inlineStr">
        <is>
          <t>NO</t>
        </is>
      </c>
      <c r="L237" s="3" t="n"/>
    </row>
    <row r="238" ht="42" customHeight="1">
      <c r="A238" t="inlineStr">
        <is>
          <t>F237</t>
        </is>
      </c>
      <c r="B238" t="inlineStr">
        <is>
          <t>2025</t>
        </is>
      </c>
      <c r="C238" t="inlineStr">
        <is>
          <t>Arxiv_CS_2025</t>
        </is>
      </c>
      <c r="D238" t="inlineStr">
        <is>
          <t>2502.02380v1.pdf</t>
        </is>
      </c>
      <c r="E238" s="2" t="inlineStr">
        <is>
          <t>J. Campbell, A. Casella, L. de Lara, V. R. Mooers, and D. Ravindran. Liquid democracy. two experiments on delegation in voting. Technical report, National Bureau of Economic Research, 2022. R. Colley, T. Delemazure, and H. Gilbert. Measuring a priori voting power in liquid democracy. In Pro- ceedings of the International Joint Conference on Artificial Intelligence, pages 2607–2615, 2023. T. H. Cormen, C. E. Leiserson, R. L. Rivest, and C. Stein. Introduction to Algorithms, 3rd Edition. MIT Press</t>
        </is>
      </c>
      <c r="F238">
        <f>HYPERLINK("https://scholar.google.com/scholar?q=J.+Campbell%2C+A.+Casella%2C+L.+de+Lara%2C+V.+R.+Mooers%2C+and+D.+Ravindran.+Liquid+democracy.+two+experiments+on+delegation+in+","search")</f>
        <v/>
      </c>
      <c r="G238" s="3" t="n"/>
      <c r="H238" s="3" t="n"/>
      <c r="I238" s="3" t="n"/>
      <c r="J238" s="3" t="n"/>
      <c r="K238" t="inlineStr">
        <is>
          <t>NO</t>
        </is>
      </c>
      <c r="L238" s="3" t="n"/>
    </row>
    <row r="239" ht="42" customHeight="1">
      <c r="A239" t="inlineStr">
        <is>
          <t>F238</t>
        </is>
      </c>
      <c r="B239" t="inlineStr">
        <is>
          <t>2016</t>
        </is>
      </c>
      <c r="C239" t="inlineStr">
        <is>
          <t>Arxiv_CS_2016</t>
        </is>
      </c>
      <c r="D239" t="inlineStr">
        <is>
          <t>1607.00656v1.pdf</t>
        </is>
      </c>
      <c r="E239" s="2" t="inlineStr">
        <is>
          <t>Antos, D. and Pfeﬀer, A. (2011). Using emotions to enhance decision-making. In Walsh, T., editor, Proceedings of the Twenty-second Intl. Joint Conf. on Artif. Intell. (IJCAI-11), pages 24–30, Menlo Park, CA. AAAI Press. Bauters, K., McAreavey, K., Hong, J., Chen, Y., Liu, W., Godo, L., and Sierra, C. (2015). Probabilistic planning in agentspeak using the pomdp framework. In Hatzilygeroudis, I., Palade, V., and Prentzas, J., editors, Combinations of Intelligent Methods and Ap- plications: Proceed</t>
        </is>
      </c>
      <c r="F239">
        <f>HYPERLINK("https://scholar.google.com/scholar?q=Antos%2C+D.+and+Pfe%EF%AC%80er%2C+A.+%282011%29.+Using+emotions+to+enhance+decision-making.+In+Walsh%2C+T.%2C+editor%2C+Proceedings+of+the+Twe","search")</f>
        <v/>
      </c>
      <c r="G239" s="3" t="n"/>
      <c r="H239" s="3" t="n"/>
      <c r="I239" s="3" t="n"/>
      <c r="J239" s="3" t="n"/>
      <c r="K239" t="inlineStr">
        <is>
          <t>YES</t>
        </is>
      </c>
      <c r="L239" s="3" t="n"/>
    </row>
    <row r="240" ht="42" customHeight="1">
      <c r="A240" t="inlineStr">
        <is>
          <t>F239</t>
        </is>
      </c>
      <c r="B240" t="inlineStr">
        <is>
          <t>2016</t>
        </is>
      </c>
      <c r="C240" t="inlineStr">
        <is>
          <t>NeurIPS_2016</t>
        </is>
      </c>
      <c r="D240" t="inlineStr">
        <is>
          <t>390e982518a50e280d8e2b535462ec1f-Paper.pdf</t>
        </is>
      </c>
      <c r="E240" s="2" t="inlineStr">
        <is>
          <t>François Fouss, Kevin Francoisse, Luh Yen, Alain Pirotte, and Marco Saerens. An experimen- tal investigation of kernels on graphs for collaborative recommendation and semisupervised classiﬁcation. Neural Networks, 31:53–72, July 2012. 8</t>
        </is>
      </c>
      <c r="F240">
        <f>HYPERLINK("https://scholar.google.com/scholar?q=Fran%C3%A7ois+Fouss%2C+Kevin+Francoisse%2C+Luh+Yen%2C+Alain+Pirotte%2C+and+Marco+Saerens.+An+experimen-+tal+investigation+of+kernels+","search")</f>
        <v/>
      </c>
      <c r="G240" s="3" t="n"/>
      <c r="H240" s="3" t="n"/>
      <c r="I240" s="3" t="n"/>
      <c r="J240" s="3" t="n"/>
      <c r="K240" t="inlineStr">
        <is>
          <t>NO</t>
        </is>
      </c>
      <c r="L240" s="3" t="n"/>
    </row>
    <row r="241" ht="42" customHeight="1">
      <c r="A241" t="inlineStr">
        <is>
          <t>F240</t>
        </is>
      </c>
      <c r="B241" t="inlineStr">
        <is>
          <t>2023</t>
        </is>
      </c>
      <c r="C241" t="inlineStr">
        <is>
          <t>Arxiv_Bio_2023</t>
        </is>
      </c>
      <c r="D241" t="inlineStr">
        <is>
          <t>2304.01799v1.pdf</t>
        </is>
      </c>
      <c r="E241" s="2" t="inlineStr">
        <is>
          <t>Aertsen, A. M. H. J., Olders, J. H. J., &amp; Johannesma, P. I. M. (1981). Spectro-temporal receptive  fields of auditory neurons in the grassfrog - III. analysis of the stimulus-event relation for  natural stimuli. Biological Cybernetics, 39(3). https://doi.org/10.1007/BF00342772  Bialek, W., Rieke, F., de Ruyter Van Steveninck, R. R., &amp; Warland, D. (1991). Reading a neural  code. Science, 252(5014). https://doi.org/10.1126/science.2063199  Canolty, R. T., Edwards, E., Dalal, S. S., Soltani, M., Na</t>
        </is>
      </c>
      <c r="F241">
        <f>HYPERLINK("https://scholar.google.com/scholar?q=Aertsen%2C+A.+M.+H.+J.%2C+Olders%2C+J.+H.+J.%2C+%26+Johannesma%2C+P.+I.+M.+%281981%29.+Spectro-temporal+receptive++fields+of+auditory+ne","search")</f>
        <v/>
      </c>
      <c r="G241" s="3" t="n"/>
      <c r="H241" s="3" t="n"/>
      <c r="I241" s="3" t="n"/>
      <c r="J241" s="3" t="n"/>
      <c r="K241" t="inlineStr">
        <is>
          <t>NO</t>
        </is>
      </c>
      <c r="L241" s="3" t="n"/>
    </row>
    <row r="242" ht="42" customHeight="1">
      <c r="A242" t="inlineStr">
        <is>
          <t>F241</t>
        </is>
      </c>
      <c r="B242" t="inlineStr">
        <is>
          <t>2025</t>
        </is>
      </c>
      <c r="C242" t="inlineStr">
        <is>
          <t>Arxiv_CS_2025</t>
        </is>
      </c>
      <c r="D242" t="inlineStr">
        <is>
          <t>2502.01660v1.pdf</t>
        </is>
      </c>
      <c r="E242" s="2" t="inlineStr">
        <is>
          <t>Ahuja MK, Chudoba KM, Kacmar CJ, McKnight DH, George JF (2007) IT Road Warriors: Balancing Work-Family  Conflict, Job Autonomy, and Work Overload to Mitigate Turnover Intentions. MIS Q. 31(1):1–17.  Armstrong DJ, Brooks NG, Riemenschneider CK (2015) Exhaustion from Information System Career Experience:  Implications for Turn-Away Intention. MIS Q. 39(3):713–728.  Ba JL, Kiros JR, Hinton GE (2016) Layer Normalization. (July 21) http://arxiv.org/abs/1607.06450.  Barredo Arrieta A, Díaz-Rodríguez N</t>
        </is>
      </c>
      <c r="F242">
        <f>HYPERLINK("https://scholar.google.com/scholar?q=Ahuja+MK%2C+Chudoba+KM%2C+Kacmar+CJ%2C+McKnight+DH%2C+George+JF+%282007%29+IT+Road+Warriors%3A+Balancing+Work-Family++Conflict%2C+Job+Au","search")</f>
        <v/>
      </c>
      <c r="G242" s="3" t="n"/>
      <c r="H242" s="3" t="n"/>
      <c r="I242" s="3" t="n"/>
      <c r="J242" s="3" t="n"/>
      <c r="K242" t="inlineStr">
        <is>
          <t>YES</t>
        </is>
      </c>
      <c r="L242" s="3" t="n"/>
    </row>
    <row r="243" ht="42" customHeight="1">
      <c r="A243" t="inlineStr">
        <is>
          <t>F242</t>
        </is>
      </c>
      <c r="B243" t="inlineStr">
        <is>
          <t>2025</t>
        </is>
      </c>
      <c r="C243" t="inlineStr">
        <is>
          <t>Arxiv_CS_2025</t>
        </is>
      </c>
      <c r="D243" t="inlineStr">
        <is>
          <t>2501.11065v1.pdf</t>
        </is>
      </c>
      <c r="E243" s="2" t="inlineStr">
        <is>
          <t>Tom Ko, Vijayaditya Peddinti, Daniel Povey, and Sanjeev Khudanpur. Audio augmentation for speech recogni- tion. In Sixteenth annual conference of the international speech communication association, 2015.</t>
        </is>
      </c>
      <c r="F243">
        <f>HYPERLINK("https://scholar.google.com/scholar?q=Tom+Ko%2C+Vijayaditya+Peddinti%2C+Daniel+Povey%2C+and+Sanjeev+Khudanpur.+Audio+augmentation+for+speech+recogni-+tion.+In+Sixte","search")</f>
        <v/>
      </c>
      <c r="G243" s="3" t="n"/>
      <c r="H243" s="3" t="n"/>
      <c r="I243" s="3" t="n"/>
      <c r="J243" s="3" t="n"/>
      <c r="K243" t="inlineStr">
        <is>
          <t>NO</t>
        </is>
      </c>
      <c r="L243" s="3" t="n"/>
    </row>
    <row r="244" ht="42" customHeight="1">
      <c r="A244" t="inlineStr">
        <is>
          <t>F243</t>
        </is>
      </c>
      <c r="B244" t="inlineStr">
        <is>
          <t>2016</t>
        </is>
      </c>
      <c r="C244" t="inlineStr">
        <is>
          <t>NeurIPS_2016</t>
        </is>
      </c>
      <c r="D244" t="inlineStr">
        <is>
          <t>04025959b191f8f9de3f924f0940515f-Paper.pdf</t>
        </is>
      </c>
      <c r="E244" s="2" t="inlineStr">
        <is>
          <t>Khurram Soomro, Amir Roshan Zamir, and Mubarak Shah. Ucf101: A dataset of 101 human actions classes from videos in the wild. arXiv, 2012.</t>
        </is>
      </c>
      <c r="F244">
        <f>HYPERLINK("https://scholar.google.com/scholar?q=Khurram+Soomro%2C+Amir+Roshan+Zamir%2C+and+Mubarak+Shah.+Ucf101%3A+A+dataset+of+101+human+actions+classes+from+videos+in+the+w","search")</f>
        <v/>
      </c>
      <c r="G244" s="3" t="n"/>
      <c r="H244" s="3" t="n"/>
      <c r="I244" s="3" t="n"/>
      <c r="J244" s="3" t="n"/>
      <c r="K244" t="inlineStr">
        <is>
          <t>NO</t>
        </is>
      </c>
      <c r="L244" s="3" t="n"/>
    </row>
    <row r="245" ht="42" customHeight="1">
      <c r="A245" t="inlineStr">
        <is>
          <t>F244</t>
        </is>
      </c>
      <c r="B245" t="inlineStr">
        <is>
          <t>2023</t>
        </is>
      </c>
      <c r="C245" t="inlineStr">
        <is>
          <t>Arxiv_CS_2023</t>
        </is>
      </c>
      <c r="D245" t="inlineStr">
        <is>
          <t>2312.11023v1.pdf</t>
        </is>
      </c>
      <c r="E245" s="2" t="inlineStr">
        <is>
          <t>ijcai.org.  A. Theoretically Analysis In this section, we theoretically analyze the equivalence between self-attention and frequency-domain computation, i.e., we can efficiently reformulate self-attention via point- wise computation in the frequency domain. Given the input tensor, X we denote the n-th token as xn ∈Rd and define N as the sequence length. Definition 1 (Self-Attention) We express the self-attention Self-Att: RN×d →RN×d us- ing the formulation of kernel integration (Tsai et al. 2019</t>
        </is>
      </c>
      <c r="F245">
        <f>HYPERLINK("https://scholar.google.com/scholar?q=ijcai.org.++A.+Theoretically+Analysis+In+this+section%2C+we+theoretically+analyze+the+equivalence+between+self-attention+a","search")</f>
        <v/>
      </c>
      <c r="G245" s="3" t="n"/>
      <c r="H245" s="3" t="n"/>
      <c r="I245" s="3" t="n"/>
      <c r="J245" s="3" t="n"/>
      <c r="K245" t="inlineStr">
        <is>
          <t>YES</t>
        </is>
      </c>
      <c r="L245" s="3" t="n"/>
    </row>
    <row r="246" ht="42" customHeight="1">
      <c r="A246" t="inlineStr">
        <is>
          <t>F245</t>
        </is>
      </c>
      <c r="B246" t="inlineStr">
        <is>
          <t>2025</t>
        </is>
      </c>
      <c r="C246" t="inlineStr">
        <is>
          <t>Arxiv_CS_2025</t>
        </is>
      </c>
      <c r="D246" t="inlineStr">
        <is>
          <t>2501.11284v1.pdf</t>
        </is>
      </c>
      <c r="E246" s="2" t="inlineStr">
        <is>
          <t>Haotian Xu. No train still gain. unleash mathematical reasoning of large language models with monte carlo tree search guided by energy function. arXiv preprint arXiv:2309.03224, 2023.</t>
        </is>
      </c>
      <c r="F246">
        <f>HYPERLINK("https://scholar.google.com/scholar?q=Haotian+Xu.+No+train+still+gain.+unleash+mathematical+reasoning+of+large+language+models+with+monte+carlo+tree+search+gu","search")</f>
        <v/>
      </c>
      <c r="G246" s="3" t="n"/>
      <c r="H246" s="3" t="n"/>
      <c r="I246" s="3" t="n"/>
      <c r="J246" s="3" t="n"/>
      <c r="K246" t="inlineStr">
        <is>
          <t>NO</t>
        </is>
      </c>
      <c r="L246" s="3" t="n"/>
    </row>
    <row r="247" ht="42" customHeight="1">
      <c r="A247" t="inlineStr">
        <is>
          <t>F246</t>
        </is>
      </c>
      <c r="B247" t="inlineStr">
        <is>
          <t>2023</t>
        </is>
      </c>
      <c r="C247" t="inlineStr">
        <is>
          <t>NeurIPS_2023</t>
        </is>
      </c>
      <c r="D247" t="inlineStr">
        <is>
          <t>01ecd39ca49ddecc5729ca996304781b-Paper-Conference.pdf</t>
        </is>
      </c>
      <c r="E247" s="2" t="inlineStr">
        <is>
          <t>B Gaussian Manifold B.1 Curvature of the Gaussian manifold We construct a Riemannian manifold {(µ, σ) | µ ∈R, σ ∈R&gt;0} with a positive constant c and the metric tensor σ−2diag(1, 1/c), which we will name Gaussian manifold. We need to show the value of the curvature. First, we need to compute the Christoeffel symbols of the Gaussian manifold defined as: Γk ij = 1 2gkl ∂gjl ∂gi + ∂gil ∂gj −∂gij ∂gl  , where gij is the (i, j) element of the metric tensor and gij is the (i, j) element of the invers</t>
        </is>
      </c>
      <c r="F247">
        <f>HYPERLINK("https://scholar.google.com/scholar?q=B+Gaussian+Manifold+B.1+Curvature+of+the+Gaussian+manifold+We+construct+a+Riemannian+manifold+%7B%28%C2%B5%2C+%CF%83%29+%7C+%C2%B5+%E2%88%88R%2C+%CF%83+%E2%88%88R%3E0%7D+wi","search")</f>
        <v/>
      </c>
      <c r="G247" s="3" t="n"/>
      <c r="H247" s="3" t="n"/>
      <c r="I247" s="3" t="n"/>
      <c r="J247" s="3" t="n"/>
      <c r="K247" t="inlineStr">
        <is>
          <t>NO</t>
        </is>
      </c>
      <c r="L247" s="3" t="n"/>
    </row>
    <row r="248" ht="42" customHeight="1">
      <c r="A248" t="inlineStr">
        <is>
          <t>F247</t>
        </is>
      </c>
      <c r="B248" t="inlineStr">
        <is>
          <t>2025</t>
        </is>
      </c>
      <c r="C248" t="inlineStr">
        <is>
          <t>Arxiv_CS_2025</t>
        </is>
      </c>
      <c r="D248" t="inlineStr">
        <is>
          <t>2502.05704v1.pdf</t>
        </is>
      </c>
      <c r="E248" s="2" t="inlineStr">
        <is>
          <t>Logics of history: Social theory and social transformation. University of Chicago Press. Pinky Sitikhu, Kritish Pahi, Pujan Thapa, and Subarna Shakya. 2019. A comparison of semantic similarity methods for maximum human interpretability. In 2019 artificial intelligence for transforming business and society (AITB), volume 1, pages 1–4. IEEE. Sahar Sohangir and Dingding Wang. 2017. Improved sqrt-cosine similarity measurement. Journal of Big Data, 4:1–13. Aina Garí Soler and Marianna Apidianaki. 202</t>
        </is>
      </c>
      <c r="F248">
        <f>HYPERLINK("https://scholar.google.com/scholar?q=Logics+of+history%3A+Social+theory+and+social+transformation.+University+of+Chicago+Press.+Pinky+Sitikhu%2C+Kritish+Pahi%2C+Pu","search")</f>
        <v/>
      </c>
      <c r="G248" s="3" t="n"/>
      <c r="H248" s="3" t="n"/>
      <c r="I248" s="3" t="n"/>
      <c r="J248" s="3" t="n"/>
      <c r="K248" t="inlineStr">
        <is>
          <t>NO</t>
        </is>
      </c>
      <c r="L248" s="3" t="n"/>
    </row>
    <row r="249" ht="42" customHeight="1">
      <c r="A249" t="inlineStr">
        <is>
          <t>F248</t>
        </is>
      </c>
      <c r="B249" t="inlineStr">
        <is>
          <t>2016</t>
        </is>
      </c>
      <c r="C249" t="inlineStr">
        <is>
          <t>NeurIPS_2016</t>
        </is>
      </c>
      <c r="D249" t="inlineStr">
        <is>
          <t>06409663226af2f3114485aa4e0a23b4-Paper.pdf</t>
        </is>
      </c>
      <c r="E249" s="2" t="inlineStr">
        <is>
          <t>T. Zhang, B. Ghanem, S. Liu, and N. Ahuja. Robust visual tracking via structured multi-task sparse learning. IJCV, 101(2):367–383, 2013.</t>
        </is>
      </c>
      <c r="F249">
        <f>HYPERLINK("https://scholar.google.com/scholar?q=T.+Zhang%2C+B.+Ghanem%2C+S.+Liu%2C+and+N.+Ahuja.+Robust+visual+tracking+via+structured+multi-task+sparse+learning.+IJCV%2C+101%282","search")</f>
        <v/>
      </c>
      <c r="G249" s="3" t="n"/>
      <c r="H249" s="3" t="n"/>
      <c r="I249" s="3" t="n"/>
      <c r="J249" s="3" t="n"/>
      <c r="K249" t="inlineStr">
        <is>
          <t>NO</t>
        </is>
      </c>
      <c r="L249" s="3" t="n"/>
    </row>
    <row r="250" ht="42" customHeight="1">
      <c r="A250" t="inlineStr">
        <is>
          <t>F249</t>
        </is>
      </c>
      <c r="B250" t="inlineStr">
        <is>
          <t>2016</t>
        </is>
      </c>
      <c r="C250" t="inlineStr">
        <is>
          <t>NeurIPS_2016</t>
        </is>
      </c>
      <c r="D250" t="inlineStr">
        <is>
          <t>03e7ef47cee6fa4ae7567394b99912b7-Paper.pdf</t>
        </is>
      </c>
      <c r="E250" s="2" t="inlineStr">
        <is>
          <t>N. Alon and J. H. Spencer. The probabilistic method. John Wiley and Sons, 2004.</t>
        </is>
      </c>
      <c r="F250">
        <f>HYPERLINK("https://scholar.google.com/scholar?q=N.+Alon+and+J.+H.+Spencer.+The+probabilistic+method.+John+Wiley+and+Sons%2C+2004.","search")</f>
        <v/>
      </c>
      <c r="G250" s="3" t="n"/>
      <c r="H250" s="3" t="n"/>
      <c r="I250" s="3" t="n"/>
      <c r="J250" s="3" t="n"/>
      <c r="K250" t="inlineStr">
        <is>
          <t>NO</t>
        </is>
      </c>
      <c r="L250" s="3" t="n"/>
    </row>
    <row r="251" ht="42" customHeight="1">
      <c r="A251" t="inlineStr">
        <is>
          <t>F250</t>
        </is>
      </c>
      <c r="B251" t="inlineStr">
        <is>
          <t>2026</t>
        </is>
      </c>
      <c r="C251" t="inlineStr">
        <is>
          <t>Arxiv_General_Latest</t>
        </is>
      </c>
      <c r="D251" t="inlineStr">
        <is>
          <t>2606.13762v1.pdf</t>
        </is>
      </c>
      <c r="E251" s="2" t="inlineStr">
        <is>
          <t>Aartsen, M., Ackermann, M., Adams, J., et al. 2017, Astropart. Phys., 92, 30, doi: https://doi.org/10.1016/j.astropartphys.2017.05.002 Aartsen, M. G., et al. 2018, Science, 361, eaat1378, doi: 10.1126/science.aat1378 Aasi, J., et al. 2015, Class. Quant. Grav., 32, 074001, doi: 10.1088/0264-9381/32/7/074001 Abbasi, R., et al. 2021, ApJ, 910, 4, doi: 10.3847/1538-4357/abe123 —. 2022, Science, 378, 538, doi: 10.1126/science.abg3395 —. 2023, ApJ, 951, 45, doi: 10.3847/1538-4357/acd2ca Abbasi, R., et</t>
        </is>
      </c>
      <c r="F251">
        <f>HYPERLINK("https://scholar.google.com/scholar?q=Aartsen%2C+M.%2C+Ackermann%2C+M.%2C+Adams%2C+J.%2C+et+al.+2017%2C+Astropart.+Phys.%2C+92%2C+30%2C+doi%3A+https%3A%2F%2Fdoi.org%2F10.1016%2Fj.astropartph","search")</f>
        <v/>
      </c>
      <c r="G251" s="3" t="n"/>
      <c r="H251" s="3" t="n"/>
      <c r="I251" s="3" t="n"/>
      <c r="J251" s="3" t="n"/>
      <c r="K251" t="inlineStr">
        <is>
          <t>NO</t>
        </is>
      </c>
      <c r="L251" s="3" t="n"/>
    </row>
    <row r="252" ht="42" customHeight="1">
      <c r="A252" t="inlineStr">
        <is>
          <t>F251</t>
        </is>
      </c>
      <c r="B252" t="inlineStr">
        <is>
          <t>2025</t>
        </is>
      </c>
      <c r="C252" t="inlineStr">
        <is>
          <t>Arxiv_CS_2025</t>
        </is>
      </c>
      <c r="D252" t="inlineStr">
        <is>
          <t>2501.13946v1.pdf</t>
        </is>
      </c>
      <c r="E252" s="2" t="inlineStr">
        <is>
          <t>Diego Gosmar. Multi agent agentic hallucinatoin evaluator. https://github.com/diegogosmar/hall_ evaluator, 2025.</t>
        </is>
      </c>
      <c r="F252">
        <f>HYPERLINK("https://scholar.google.com/scholar?q=Diego+Gosmar.+Multi+agent+agentic+hallucinatoin+evaluator.+https%3A%2F%2Fgithub.com%2Fdiegogosmar%2Fhall_+evaluator%2C+2025.","search")</f>
        <v/>
      </c>
      <c r="G252" s="3" t="n"/>
      <c r="H252" s="3" t="n"/>
      <c r="I252" s="3" t="n"/>
      <c r="J252" s="3" t="n"/>
      <c r="K252" t="inlineStr">
        <is>
          <t>NO</t>
        </is>
      </c>
      <c r="L252" s="3" t="n"/>
    </row>
    <row r="253" ht="42" customHeight="1">
      <c r="A253" t="inlineStr">
        <is>
          <t>F252</t>
        </is>
      </c>
      <c r="B253" t="inlineStr">
        <is>
          <t>2023</t>
        </is>
      </c>
      <c r="C253" t="inlineStr">
        <is>
          <t>NeurIPS_2023</t>
        </is>
      </c>
      <c r="D253" t="inlineStr">
        <is>
          <t>098491b37deebbe6c007e69815729e09-Paper-Conference.pdf</t>
        </is>
      </c>
      <c r="E253" s="2" t="inlineStr">
        <is>
          <t>Lianghua Huang, Xin Zhao, and Kaiqi Huang. Got-10k: A large high-diversity benchmark for generic object tracking in the wild. IEEE Transactions on Pattern Analysis and Machine Intelligence, 2019. 2, 3</t>
        </is>
      </c>
      <c r="F253">
        <f>HYPERLINK("https://scholar.google.com/scholar?q=Lianghua+Huang%2C+Xin+Zhao%2C+and+Kaiqi+Huang.+Got-10k%3A+A+large+high-diversity+benchmark+for+generic+object+tracking+in+the+","search")</f>
        <v/>
      </c>
      <c r="G253" s="3" t="n"/>
      <c r="H253" s="3" t="n"/>
      <c r="I253" s="3" t="n"/>
      <c r="J253" s="3" t="n"/>
      <c r="K253" t="inlineStr">
        <is>
          <t>NO</t>
        </is>
      </c>
      <c r="L253" s="3" t="n"/>
    </row>
    <row r="254" ht="42" customHeight="1">
      <c r="A254" t="inlineStr">
        <is>
          <t>F253</t>
        </is>
      </c>
      <c r="B254" t="inlineStr">
        <is>
          <t>2025</t>
        </is>
      </c>
      <c r="C254" t="inlineStr">
        <is>
          <t>Arxiv_CS_2025</t>
        </is>
      </c>
      <c r="D254" t="inlineStr">
        <is>
          <t>2501.11171v1.pdf</t>
        </is>
      </c>
      <c r="E254" s="2" t="inlineStr">
        <is>
          <t>Fojcik, K., Syga, P., Klonowski, M.: Extremely compact video representation for efficient near-duplicates detection. Pattern Recognition 158, 111016 (2025)</t>
        </is>
      </c>
      <c r="F254">
        <f>HYPERLINK("https://scholar.google.com/scholar?q=Fojcik%2C+K.%2C+Syga%2C+P.%2C+Klonowski%2C+M.%3A+Extremely+compact+video+representation+for+efficient+near-duplicates+detection.+Pat","search")</f>
        <v/>
      </c>
      <c r="G254" s="3" t="n"/>
      <c r="H254" s="3" t="n"/>
      <c r="I254" s="3" t="n"/>
      <c r="J254" s="3" t="n"/>
      <c r="K254" t="inlineStr">
        <is>
          <t>NO</t>
        </is>
      </c>
      <c r="L254" s="3" t="n"/>
    </row>
    <row r="255" ht="42" customHeight="1">
      <c r="A255" t="inlineStr">
        <is>
          <t>F254</t>
        </is>
      </c>
      <c r="B255" t="inlineStr">
        <is>
          <t>2016</t>
        </is>
      </c>
      <c r="C255" t="inlineStr">
        <is>
          <t>NeurIPS_2016</t>
        </is>
      </c>
      <c r="D255" t="inlineStr">
        <is>
          <t>390e982518a50e280d8e2b535462ec1f-Paper.pdf</t>
        </is>
      </c>
      <c r="E255" s="2" t="inlineStr">
        <is>
          <t>Trevor Cohn. Efﬁcient Inference in Large Conditional Random Fields. ECML, 2006. 9</t>
        </is>
      </c>
      <c r="F255">
        <f>HYPERLINK("https://scholar.google.com/scholar?q=Trevor+Cohn.+Ef%EF%AC%81cient+Inference+in+Large+Conditional+Random+Fields.+ECML%2C+2006.+9","search")</f>
        <v/>
      </c>
      <c r="G255" s="3" t="n"/>
      <c r="H255" s="3" t="n"/>
      <c r="I255" s="3" t="n"/>
      <c r="J255" s="3" t="n"/>
      <c r="K255" t="inlineStr">
        <is>
          <t>YES</t>
        </is>
      </c>
      <c r="L255" s="3" t="n"/>
    </row>
    <row r="256" ht="42" customHeight="1">
      <c r="A256" t="inlineStr">
        <is>
          <t>F255</t>
        </is>
      </c>
      <c r="B256" t="inlineStr">
        <is>
          <t>2016</t>
        </is>
      </c>
      <c r="C256" t="inlineStr">
        <is>
          <t>Arxiv_CS_2016</t>
        </is>
      </c>
      <c r="D256" t="inlineStr">
        <is>
          <t>1606.09521v1.pdf</t>
        </is>
      </c>
      <c r="E256" s="2" t="inlineStr">
        <is>
          <t xml:space="preserve">Yeung, R.W.: Information theory and network coding. Springer Science &amp; Business Media (2008)  Appendix: Proofs Theorem 13. The KB K = (R, T ) is ME-consistent iﬀfor every v ∈Int(L) such that P ME R (v) &gt; 0, Tv is consistent. Proof. For the “if” direction, let v1, . . . , vn ∈Int(L) be all the L-interpretations such that P ME R (vi) &gt; 0, 1 ≤i ≤n. Then, for every i, 1 ≤i ≤n the induced TBox Tvi has a classical model Ii = (∆Ii, ·Ii), by assumption. It is easy to verify that the ALCP-interpretation </t>
        </is>
      </c>
      <c r="F256">
        <f>HYPERLINK("https://scholar.google.com/scholar?q=Yeung%2C+R.W.%3A+Information+theory+and+network+coding.+Springer+Science+%26+Business+Media+%282008%29++Appendix%3A+Proofs+Theorem+1","search")</f>
        <v/>
      </c>
      <c r="G256" s="3" t="n"/>
      <c r="H256" s="3" t="n"/>
      <c r="I256" s="3" t="n"/>
      <c r="J256" s="3" t="n"/>
      <c r="K256" t="inlineStr">
        <is>
          <t>NO</t>
        </is>
      </c>
      <c r="L256" s="3" t="n"/>
    </row>
    <row r="257" ht="42" customHeight="1">
      <c r="A257" t="inlineStr">
        <is>
          <t>F256</t>
        </is>
      </c>
      <c r="B257" t="inlineStr">
        <is>
          <t>2025</t>
        </is>
      </c>
      <c r="C257" t="inlineStr">
        <is>
          <t>Arxiv_CS_2025</t>
        </is>
      </c>
      <c r="D257" t="inlineStr">
        <is>
          <t>2501.08922v2.pdf</t>
        </is>
      </c>
      <c r="E257" s="2" t="inlineStr">
        <is>
          <t>Gwenaelle Chebil, Dimitri Bettebghor, Yves Renollet, P Lapouge, Cecile Davoine, Marc Thomas, V Favier, and M Schneider. Deep learning object detection for optical monitoring of spatters in l-pbf. Journal of Materials Processing Technology, 319:118063, 2023.</t>
        </is>
      </c>
      <c r="F257">
        <f>HYPERLINK("https://scholar.google.com/scholar?q=Gwenaelle+Chebil%2C+Dimitri+Bettebghor%2C+Yves+Renollet%2C+P+Lapouge%2C+Cecile+Davoine%2C+Marc+Thomas%2C+V+Favier%2C+and+M+Schneider.+","search")</f>
        <v/>
      </c>
      <c r="G257" s="3" t="n"/>
      <c r="H257" s="3" t="n"/>
      <c r="I257" s="3" t="n"/>
      <c r="J257" s="3" t="n"/>
      <c r="K257" t="inlineStr">
        <is>
          <t>NO</t>
        </is>
      </c>
      <c r="L257" s="3" t="n"/>
    </row>
    <row r="258" ht="42" customHeight="1">
      <c r="A258" t="inlineStr">
        <is>
          <t>F257</t>
        </is>
      </c>
      <c r="B258" t="inlineStr">
        <is>
          <t>2023</t>
        </is>
      </c>
      <c r="C258" t="inlineStr">
        <is>
          <t>Arxiv_CS_2023</t>
        </is>
      </c>
      <c r="D258" t="inlineStr">
        <is>
          <t>2312.14472v2.pdf</t>
        </is>
      </c>
      <c r="E258" s="2" t="inlineStr">
        <is>
          <t>number of modules 16 module size 128 routing size [256, 256] Table 7: Additional hyperparameters for D2R. A Additional Implementation Details A.1 Libraries For baselines, we used the Soft-Module1 codebase with an extra modification using AsyncVectorEnv class imple- mented by Gym2, which enables us to run our experiments across multiple parallel environments. Unlike (Yang et al. 2020; Sodhani, Zhang, and Pineau 2021), we run our exper- iments on the Meta-World-V2 benchmark3. A.2 Hyperparameter De</t>
        </is>
      </c>
      <c r="F258">
        <f>HYPERLINK("https://scholar.google.com/scholar?q=number+of+modules+16+module+size+128+routing+size+%5B256%2C+256%5D+Table+7%3A+Additional+hyperparameters+for+D2R.+A+Additional+I","search")</f>
        <v/>
      </c>
      <c r="G258" s="3" t="n"/>
      <c r="H258" s="3" t="n"/>
      <c r="I258" s="3" t="n"/>
      <c r="J258" s="3" t="n"/>
      <c r="K258" t="inlineStr">
        <is>
          <t>NO</t>
        </is>
      </c>
      <c r="L258" s="3" t="n"/>
    </row>
    <row r="259" ht="42" customHeight="1">
      <c r="A259" t="inlineStr">
        <is>
          <t>F258</t>
        </is>
      </c>
      <c r="B259" t="inlineStr">
        <is>
          <t>2023</t>
        </is>
      </c>
      <c r="C259" t="inlineStr">
        <is>
          <t>Arxiv_CS_2023</t>
        </is>
      </c>
      <c r="D259" t="inlineStr">
        <is>
          <t>2312.10369v2.pdf</t>
        </is>
      </c>
      <c r="E259" s="2" t="inlineStr">
        <is>
          <t>Herv´e Moulin. On strategy-proofness and single peakedness. Public Choice, 35:437–455, 1980. Herv´e Moulin. Fair division and collective welfare. MIT Press, 2003. Kamesh Munagala and Kangning Wang. Improved metric distortion for deterministic social choice rules. In Proc. 20th ACM Conf. on Economics and Computation, pages 245–262, 2019. Dominik Peters, Grzegorz Pierczy´nski, and Piotr Skowron. Proportional participatory budgeting with ad- ditive utilities. In Proc. 34th Advances in Neural Inform</t>
        </is>
      </c>
      <c r="F259">
        <f>HYPERLINK("https://scholar.google.com/scholar?q=Herv%C2%B4e+Moulin.+On+strategy-proofness+and+single+peakedness.+Public+Choice%2C+35%3A437%E2%80%93455%2C+1980.+Herv%C2%B4e+Moulin.+Fair+divisio","search")</f>
        <v/>
      </c>
      <c r="G259" s="3" t="n"/>
      <c r="H259" s="3" t="n"/>
      <c r="I259" s="3" t="n"/>
      <c r="J259" s="3" t="n"/>
      <c r="K259" t="inlineStr">
        <is>
          <t>NO</t>
        </is>
      </c>
      <c r="L259" s="3" t="n"/>
    </row>
    <row r="260" ht="42" customHeight="1">
      <c r="A260" t="inlineStr">
        <is>
          <t>F259</t>
        </is>
      </c>
      <c r="B260" t="inlineStr">
        <is>
          <t>2023</t>
        </is>
      </c>
      <c r="C260" t="inlineStr">
        <is>
          <t>NeurIPS_2023</t>
        </is>
      </c>
      <c r="D260" t="inlineStr">
        <is>
          <t>08bf1773e94763b6cc366ee7c6582f27-Paper-Conference.pdf</t>
        </is>
      </c>
      <c r="E260" s="2" t="inlineStr">
        <is>
          <t>Ruikun Zhou, Thanin Quartz, Hans De Sterck, and Jun Liu. Neural lyapunov control of unknown nonlinear systems with stability guarantees. In Neural Information Processing Systems, 2022. 12  A Further Details about Experiments A.1 Dynamics Since these are described as continuous-time domains, we set the time between state updates to be 0.05s in all cases for our discretized versions of these systems. Inverted Pendulum We use the following standard dynamics model for inverted pendulum [Chang et al.</t>
        </is>
      </c>
      <c r="F260">
        <f>HYPERLINK("https://scholar.google.com/scholar?q=Ruikun+Zhou%2C+Thanin+Quartz%2C+Hans+De+Sterck%2C+and+Jun+Liu.+Neural+lyapunov+control+of+unknown+nonlinear+systems+with+stabi","search")</f>
        <v/>
      </c>
      <c r="G260" s="3" t="n"/>
      <c r="H260" s="3" t="n"/>
      <c r="I260" s="3" t="n"/>
      <c r="J260" s="3" t="n"/>
      <c r="K260" t="inlineStr">
        <is>
          <t>NO</t>
        </is>
      </c>
      <c r="L260" s="3" t="n"/>
    </row>
    <row r="261" ht="42" customHeight="1">
      <c r="A261" t="inlineStr">
        <is>
          <t>F260</t>
        </is>
      </c>
      <c r="B261" t="inlineStr">
        <is>
          <t>2016</t>
        </is>
      </c>
      <c r="C261" t="inlineStr">
        <is>
          <t>NeurIPS_2016</t>
        </is>
      </c>
      <c r="D261" t="inlineStr">
        <is>
          <t>0a0a0c8aaa00ade50f74a3f0ca981ed7-Paper.pdf</t>
        </is>
      </c>
      <c r="E261" s="2" t="inlineStr">
        <is>
          <t>C. E. Bonferroni. Teoria statistica delle classi e calcolo delle probabilità. Pubblicazioni del R Istituto Superiore di Scienze Economiche e Commerciali di Firenze, 8:3–62, 1936.</t>
        </is>
      </c>
      <c r="F261">
        <f>HYPERLINK("https://scholar.google.com/scholar?q=C.+E.+Bonferroni.+Teoria+statistica+delle+classi+e+calcolo+delle+probabilit%C3%A0.+Pubblicazioni+del+R+Istituto+Superiore+di+","search")</f>
        <v/>
      </c>
      <c r="G261" s="3" t="n"/>
      <c r="H261" s="3" t="n"/>
      <c r="I261" s="3" t="n"/>
      <c r="J261" s="3" t="n"/>
      <c r="K261" t="inlineStr">
        <is>
          <t>NO</t>
        </is>
      </c>
      <c r="L261" s="3" t="n"/>
    </row>
    <row r="262" ht="42" customHeight="1">
      <c r="A262" t="inlineStr">
        <is>
          <t>F261</t>
        </is>
      </c>
      <c r="B262" t="inlineStr">
        <is>
          <t>2025</t>
        </is>
      </c>
      <c r="C262" t="inlineStr">
        <is>
          <t>Arxiv_CS_2025</t>
        </is>
      </c>
      <c r="D262" t="inlineStr">
        <is>
          <t>2501.17578v1.pdf</t>
        </is>
      </c>
      <c r="E262" s="2" t="inlineStr">
        <is>
          <t>C. Sloan, N. Harte et al., “Objective assessment of perceptual audio quality using visqolaudio,” IEEE Trans. Broadcast., vol. 63, no. 4, 2017.</t>
        </is>
      </c>
      <c r="F262">
        <f>HYPERLINK("https://scholar.google.com/scholar?q=C.+Sloan%2C+N.+Harte+et+al.%2C+%E2%80%9CObjective+assessment+of+perceptual+audio+quality+using+visqolaudio%2C%E2%80%9D+IEEE+Trans.+Broadcast.%2C","search")</f>
        <v/>
      </c>
      <c r="G262" s="3" t="n"/>
      <c r="H262" s="3" t="n"/>
      <c r="I262" s="3" t="n"/>
      <c r="J262" s="3" t="n"/>
      <c r="K262" t="inlineStr">
        <is>
          <t>YES</t>
        </is>
      </c>
      <c r="L262" s="3" t="n"/>
    </row>
    <row r="263" ht="42" customHeight="1">
      <c r="A263" t="inlineStr">
        <is>
          <t>F262</t>
        </is>
      </c>
      <c r="B263" t="inlineStr">
        <is>
          <t>2016</t>
        </is>
      </c>
      <c r="C263" t="inlineStr">
        <is>
          <t>NeurIPS_2016</t>
        </is>
      </c>
      <c r="D263" t="inlineStr">
        <is>
          <t>062ddb6c727310e76b6200b7c71f63b5-Paper.pdf</t>
        </is>
      </c>
      <c r="E263" s="2" t="inlineStr">
        <is>
          <t>P. Subbe, M. Kruger, P. Rutherford, and L. Gemmel. Validation of a modiﬁed Early Warning Score in medical admissions. Qjm, 94(10):521–526, 2001.</t>
        </is>
      </c>
      <c r="F263">
        <f>HYPERLINK("https://scholar.google.com/scholar?q=P.+Subbe%2C+M.+Kruger%2C+P.+Rutherford%2C+and+L.+Gemmel.+Validation+of+a+modi%EF%AC%81ed+Early+Warning+Score+in+medical+admissions.+Qj","search")</f>
        <v/>
      </c>
      <c r="G263" s="3" t="n"/>
      <c r="H263" s="3" t="n"/>
      <c r="I263" s="3" t="n"/>
      <c r="J263" s="3" t="n"/>
      <c r="K263" t="inlineStr">
        <is>
          <t>NO</t>
        </is>
      </c>
      <c r="L263" s="3" t="n"/>
    </row>
    <row r="264" ht="42" customHeight="1">
      <c r="A264" t="inlineStr">
        <is>
          <t>F263</t>
        </is>
      </c>
      <c r="B264" t="inlineStr">
        <is>
          <t>2025</t>
        </is>
      </c>
      <c r="C264" t="inlineStr">
        <is>
          <t>Arxiv_CS_2025</t>
        </is>
      </c>
      <c r="D264" t="inlineStr">
        <is>
          <t>2501.17811v1.pdf</t>
        </is>
      </c>
      <c r="E264" s="2" t="inlineStr">
        <is>
          <t>H. Liu, C. Li, Y. Li, and Y. J. Lee. Improved baselines with visual instruction tuning. In Proceedings of the IEEE/CVF Conference on Computer Vision and Pattern Recognition, pages 26296–26306, 2024.</t>
        </is>
      </c>
      <c r="F264">
        <f>HYPERLINK("https://scholar.google.com/scholar?q=H.+Liu%2C+C.+Li%2C+Y.+Li%2C+and+Y.+J.+Lee.+Improved+baselines+with+visual+instruction+tuning.+In+Proceedings+of+the+IEEE%2FCVF+C","search")</f>
        <v/>
      </c>
      <c r="G264" s="3" t="n"/>
      <c r="H264" s="3" t="n"/>
      <c r="I264" s="3" t="n"/>
      <c r="J264" s="3" t="n"/>
      <c r="K264" t="inlineStr">
        <is>
          <t>NO</t>
        </is>
      </c>
      <c r="L264" s="3" t="n"/>
    </row>
    <row r="265" ht="42" customHeight="1">
      <c r="A265" t="inlineStr">
        <is>
          <t>F264</t>
        </is>
      </c>
      <c r="B265" t="inlineStr">
        <is>
          <t>2016</t>
        </is>
      </c>
      <c r="C265" t="inlineStr">
        <is>
          <t>Arxiv_CS_2016</t>
        </is>
      </c>
      <c r="D265" t="inlineStr">
        <is>
          <t>1604.05006v2.pdf</t>
        </is>
      </c>
      <c r="E265" s="2" t="inlineStr">
        <is>
          <t>If D ∪Φ |= q and D ∪Φ |= q′ then D ∪Φ |= q ∧q′.</t>
        </is>
      </c>
      <c r="F265">
        <f>HYPERLINK("https://scholar.google.com/scholar?q=If+D+%E2%88%AA%CE%A6+%7C%3D+q+and+D+%E2%88%AA%CE%A6+%7C%3D+q%E2%80%B2+then+D+%E2%88%AA%CE%A6+%7C%3D+q+%E2%88%A7q%E2%80%B2.","search")</f>
        <v/>
      </c>
      <c r="G265" s="3" t="n"/>
      <c r="H265" s="3" t="n"/>
      <c r="I265" s="3" t="n"/>
      <c r="J265" s="3" t="n"/>
      <c r="K265" t="inlineStr">
        <is>
          <t>NO</t>
        </is>
      </c>
      <c r="L265" s="3" t="n"/>
    </row>
    <row r="266" ht="42" customHeight="1">
      <c r="A266" t="inlineStr">
        <is>
          <t>F265</t>
        </is>
      </c>
      <c r="B266" t="inlineStr">
        <is>
          <t>2023</t>
        </is>
      </c>
      <c r="C266" t="inlineStr">
        <is>
          <t>Arxiv_CS_2023</t>
        </is>
      </c>
      <c r="D266" t="inlineStr">
        <is>
          <t>2312.17162v1.pdf</t>
        </is>
      </c>
      <c r="E266" s="2" t="inlineStr">
        <is>
          <t xml:space="preserve">2010. Krogh, A. and Hertz, J. A. A simple weight decay can improve generalization. In NIPS, 1991. Lakshminarayanan, B., Pritzel, A., and Blundell, C. Sim- ple and scalable predictive uncertainty estimation using deep ensembles. In Guyon, I., von Luxburg, U., Bengio, S., Wallach, H. M., Fergus, R., Vishwanathan, S. V. N., and Garnett, R. (eds.), Advances in Neural Information Processing Systems 30: Annual Conference on Neural In- formation Processing Systems 2017, December 4-9, 2017, Long Beach, </t>
        </is>
      </c>
      <c r="F266">
        <f>HYPERLINK("https://scholar.google.com/scholar?q=2010.+Krogh%2C+A.+and+Hertz%2C+J.+A.+A+simple+weight+decay+can+improve+generalization.+In+NIPS%2C+1991.+Lakshminarayanan%2C+B.%2C+","search")</f>
        <v/>
      </c>
      <c r="G266" s="3" t="n"/>
      <c r="H266" s="3" t="n"/>
      <c r="I266" s="3" t="n"/>
      <c r="J266" s="3" t="n"/>
      <c r="K266" t="inlineStr">
        <is>
          <t>NO</t>
        </is>
      </c>
      <c r="L266" s="3" t="n"/>
    </row>
    <row r="267" ht="42" customHeight="1">
      <c r="A267" t="inlineStr">
        <is>
          <t>F266</t>
        </is>
      </c>
      <c r="B267" t="inlineStr">
        <is>
          <t>2025</t>
        </is>
      </c>
      <c r="C267" t="inlineStr">
        <is>
          <t>Arxiv_CS_2025</t>
        </is>
      </c>
      <c r="D267" t="inlineStr">
        <is>
          <t>2501.08922v2.pdf</t>
        </is>
      </c>
      <c r="E267" s="2" t="inlineStr">
        <is>
          <t>Hou Yi Chia, Yanming Zhang, Lu Wang, and Wentao Yan. Unveiling gas–liquid metal reactions in metal additive manufacturing: High-fidelity modeling validated with experiments. Acta Materialia, 275:120029, 2024.</t>
        </is>
      </c>
      <c r="F267">
        <f>HYPERLINK("https://scholar.google.com/scholar?q=Hou+Yi+Chia%2C+Yanming+Zhang%2C+Lu+Wang%2C+and+Wentao+Yan.+Unveiling+gas%E2%80%93liquid+metal+reactions+in+metal+additive+manufacturin","search")</f>
        <v/>
      </c>
      <c r="G267" s="3" t="n"/>
      <c r="H267" s="3" t="n"/>
      <c r="I267" s="3" t="n"/>
      <c r="J267" s="3" t="n"/>
      <c r="K267" t="inlineStr">
        <is>
          <t>YES</t>
        </is>
      </c>
      <c r="L267" s="3" t="n"/>
    </row>
    <row r="268" ht="42" customHeight="1">
      <c r="A268" t="inlineStr">
        <is>
          <t>F267</t>
        </is>
      </c>
      <c r="B268" t="inlineStr">
        <is>
          <t>2023</t>
        </is>
      </c>
      <c r="C268" t="inlineStr">
        <is>
          <t>NeurIPS_2023</t>
        </is>
      </c>
      <c r="D268" t="inlineStr">
        <is>
          <t>0973524e02a712af33325d0688ae6f49-Paper-Conference.pdf</t>
        </is>
      </c>
      <c r="E268" s="2" t="inlineStr">
        <is>
          <t>Anshumali Shrivastava and Ping Li. Asymmetric lsh (alsh) for sublinear time maximum inner product search (mips). In Z. Ghahramani, M. Welling, C. Cortes, N. Lawrence, and K.Q. Weinberger, editors, Advances in Neural Information Processing Systems, volume 27. Curran Associates, Inc., 2014. 11</t>
        </is>
      </c>
      <c r="F268">
        <f>HYPERLINK("https://scholar.google.com/scholar?q=Anshumali+Shrivastava+and+Ping+Li.+Asymmetric+lsh+%28alsh%29+for+sublinear+time+maximum+inner+product+search+%28mips%29.+In+Z.+G","search")</f>
        <v/>
      </c>
      <c r="G268" s="3" t="n"/>
      <c r="H268" s="3" t="n"/>
      <c r="I268" s="3" t="n"/>
      <c r="J268" s="3" t="n"/>
      <c r="K268" t="inlineStr">
        <is>
          <t>NO</t>
        </is>
      </c>
      <c r="L268" s="3" t="n"/>
    </row>
    <row r="269" ht="42" customHeight="1">
      <c r="A269" t="inlineStr">
        <is>
          <t>F268</t>
        </is>
      </c>
      <c r="B269" t="inlineStr">
        <is>
          <t>2016</t>
        </is>
      </c>
      <c r="C269" t="inlineStr">
        <is>
          <t>Arxiv_Bio_2016</t>
        </is>
      </c>
      <c r="D269" t="inlineStr">
        <is>
          <t>1611.04781v1.pdf</t>
        </is>
      </c>
      <c r="E269" s="2" t="inlineStr">
        <is>
          <t>Malureanu LA, Jeganathan KB, Hamada M, Wasilewski L, Davenport J, van Deursen  JM.(2009). BubR1 N Terminus Acts as a Soluble Inhibitor of Cyclin B Degradation by  APC/C-Cdc20 in Interphase. Developmental Cell. 16, 118-131.  Medema RH.(2009). Relaying the Checkpoint Signal from Kinetochore to APC/C.  Developmental Cell. 16, 6-8.  Michel LS, Liberal V, Chatterjee A, Kirchwegger R, Pasche B, Gerald W, Dobles M and  others.(2001). MAD2 haplo-insufficiency causes premature anaphase and chromosome  in</t>
        </is>
      </c>
      <c r="F269">
        <f>HYPERLINK("https://scholar.google.com/scholar?q=Malureanu+LA%2C+Jeganathan+KB%2C+Hamada+M%2C+Wasilewski+L%2C+Davenport+J%2C+van+Deursen++JM.%282009%29.+BubR1+N+Terminus+Acts+as+a+Sol","search")</f>
        <v/>
      </c>
      <c r="G269" s="3" t="n"/>
      <c r="H269" s="3" t="n"/>
      <c r="I269" s="3" t="n"/>
      <c r="J269" s="3" t="n"/>
      <c r="K269" t="inlineStr">
        <is>
          <t>YES</t>
        </is>
      </c>
      <c r="L269" s="3" t="n"/>
    </row>
    <row r="270" ht="42" customHeight="1">
      <c r="A270" t="inlineStr">
        <is>
          <t>F269</t>
        </is>
      </c>
      <c r="B270" t="inlineStr">
        <is>
          <t>2023</t>
        </is>
      </c>
      <c r="C270" t="inlineStr">
        <is>
          <t>NeurIPS_2023</t>
        </is>
      </c>
      <c r="D270" t="inlineStr">
        <is>
          <t>082d3d795520c43214da5123e56a3a34-Paper-Conference.pdf</t>
        </is>
      </c>
      <c r="E270" s="2" t="inlineStr">
        <is>
          <t>Harry Nyquist. Certain topics in telegraph transmission theory. Transactions of the American Institute of Electrical Engineers, 1928.</t>
        </is>
      </c>
      <c r="F270">
        <f>HYPERLINK("https://scholar.google.com/scholar?q=Harry+Nyquist.+Certain+topics+in+telegraph+transmission+theory.+Transactions+of+the+American+Institute+of+Electrical+Eng","search")</f>
        <v/>
      </c>
      <c r="G270" s="3" t="n"/>
      <c r="H270" s="3" t="n"/>
      <c r="I270" s="3" t="n"/>
      <c r="J270" s="3" t="n"/>
      <c r="K270" t="inlineStr">
        <is>
          <t>NO</t>
        </is>
      </c>
      <c r="L270" s="3" t="n"/>
    </row>
    <row r="271" ht="42" customHeight="1">
      <c r="A271" t="inlineStr">
        <is>
          <t>F270</t>
        </is>
      </c>
      <c r="B271" t="inlineStr">
        <is>
          <t>2023</t>
        </is>
      </c>
      <c r="C271" t="inlineStr">
        <is>
          <t>NeurIPS_2023</t>
        </is>
      </c>
      <c r="D271" t="inlineStr">
        <is>
          <t>0799492e7be38b66d10ead5e8809616d-Paper-Conference.pdf</t>
        </is>
      </c>
      <c r="E271" s="2" t="inlineStr">
        <is>
          <t>Deheng Ye, Guibin Chen, Wen Zhang, Sheng Chen, Bo Yuan, Bo Liu, Jia Chen, Zhao Liu, Fuhao Qiu, Hongsheng Yu, et al. Towards playing full moba games with deep reinforcement learning. Advances in Neural Information Processing Systems, 33:621–632, 2020. Chao Yu, Akash Velu, Eugene Vinitsky, Jiaxuan Gao, Yu Wang, Alexandre Bayen, and Yi Wu. The surprising effectiveness of ppo in cooperative multi-agent games. Advances in Neural Information Processing Systems, 35:24611–24624, 2022. Tianhao Zhang, Yue</t>
        </is>
      </c>
      <c r="F271">
        <f>HYPERLINK("https://scholar.google.com/scholar?q=Deheng+Ye%2C+Guibin+Chen%2C+Wen+Zhang%2C+Sheng+Chen%2C+Bo+Yuan%2C+Bo+Liu%2C+Jia+Chen%2C+Zhao+Liu%2C+Fuhao+Qiu%2C+Hongsheng+Yu%2C+et+al.+Towa","search")</f>
        <v/>
      </c>
      <c r="G271" s="3" t="n"/>
      <c r="H271" s="3" t="n"/>
      <c r="I271" s="3" t="n"/>
      <c r="J271" s="3" t="n"/>
      <c r="K271" t="inlineStr">
        <is>
          <t>YES</t>
        </is>
      </c>
      <c r="L271" s="3" t="n"/>
    </row>
    <row r="272" ht="42" customHeight="1">
      <c r="A272" t="inlineStr">
        <is>
          <t>F271</t>
        </is>
      </c>
      <c r="B272" t="inlineStr">
        <is>
          <t>2026</t>
        </is>
      </c>
      <c r="C272" t="inlineStr">
        <is>
          <t>Arxiv_General_Latest</t>
        </is>
      </c>
      <c r="D272" t="inlineStr">
        <is>
          <t>2603.09973v2.pdf</t>
        </is>
      </c>
      <c r="E272" s="2" t="inlineStr">
        <is>
          <t>Abbott, T. M. C., Aguena, M., Alarcon, A., et al. 2022, PhRvD, 105, 023520, doi: 10.1103/PhysRevD.105.023520 Adame, A. G., Aguilar, J., Ahlen, S., et al. 2025, JCAP, 2025, 028, doi: 10.1088/1475-7516/2025/07/028 Alam, S., Ata, M., Bailey, S., et al. 2017, MNRAS, 470, 2617, doi: 10.1093/mnras/stx721 Alam, S., Aubert, M., Avila, S., et al. 2021, PhRvD, 103, 083533, doi: 10.1103/PhysRevD.103.083533 Anderson, A. J., Barry, P., Bender, A. N., et al. 2022, in Society of Photo-Optical Instrumentation E</t>
        </is>
      </c>
      <c r="F272">
        <f>HYPERLINK("https://scholar.google.com/scholar?q=Abbott%2C+T.+M.+C.%2C+Aguena%2C+M.%2C+Alarcon%2C+A.%2C+et+al.+2022%2C+PhRvD%2C+105%2C+023520%2C+doi%3A+10.1103%2FPhysRevD.105.023520+Adame%2C+A.+G","search")</f>
        <v/>
      </c>
      <c r="G272" s="3" t="n"/>
      <c r="H272" s="3" t="n"/>
      <c r="I272" s="3" t="n"/>
      <c r="J272" s="3" t="n"/>
      <c r="K272" t="inlineStr">
        <is>
          <t>YES</t>
        </is>
      </c>
      <c r="L272" s="3" t="n"/>
    </row>
    <row r="273" ht="42" customHeight="1">
      <c r="A273" t="inlineStr">
        <is>
          <t>F272</t>
        </is>
      </c>
      <c r="B273" t="inlineStr">
        <is>
          <t>2023</t>
        </is>
      </c>
      <c r="C273" t="inlineStr">
        <is>
          <t>Arxiv_CS_2023</t>
        </is>
      </c>
      <c r="D273" t="inlineStr">
        <is>
          <t>2312.09966v1.pdf</t>
        </is>
      </c>
      <c r="E273" s="2" t="inlineStr">
        <is>
          <t>Longformer: The Long-Document Trans- former. ArXiv: 2004.05150. BGG. 2022. § 11 Disability Equality Act BGG. Ursula Bredel and Christiane Maaß. 2016. Leichte Sprache theoretische Grundlagen, Orientierung für die Praxis. Sprache im Blick. Dudenverlag. Mert Cemri, Tolga Çukur, and Aykut Koç. 2022. Unsupervised Simplification of Legal Texts. ArXiv:2209.00557 [cs]. Miguel Collantes, Maureen Hipe, and Juan Lorenzo Sorilla. 2015. Simpatico: A Text Simplification Sys- tem for Senate and House Bills. In</t>
        </is>
      </c>
      <c r="F273">
        <f>HYPERLINK("https://scholar.google.com/scholar?q=Longformer%3A+The+Long-Document+Trans-+former.+ArXiv%3A+2004.05150.+BGG.+2022.+%C2%A7+11+Disability+Equality+Act+BGG.+Ursula+Bred","search")</f>
        <v/>
      </c>
      <c r="G273" s="3" t="n"/>
      <c r="H273" s="3" t="n"/>
      <c r="I273" s="3" t="n"/>
      <c r="J273" s="3" t="n"/>
      <c r="K273" t="inlineStr">
        <is>
          <t>NO</t>
        </is>
      </c>
      <c r="L273" s="3" t="n"/>
    </row>
    <row r="274" ht="42" customHeight="1">
      <c r="A274" t="inlineStr">
        <is>
          <t>F273</t>
        </is>
      </c>
      <c r="B274" t="inlineStr">
        <is>
          <t>2023</t>
        </is>
      </c>
      <c r="C274" t="inlineStr">
        <is>
          <t>Arxiv_Bio_2023</t>
        </is>
      </c>
      <c r="D274" t="inlineStr">
        <is>
          <t>2303.09351v2.pdf</t>
        </is>
      </c>
      <c r="E274" s="2" t="inlineStr">
        <is>
          <t>https://doi.org/10.1128/AAC.42.7.1731 Czock, D, &amp; Keller, F (2007) Mechanism-based pharmacokinetic-pharmacodynamic modeling of antimicrobial drug eﬀects. J. Pharmacokinet. Pharmacodyn. 34:727-751. https://doi.org/10.1007/s10928-007-9069-x Derendorf, H, Schmidt, S (2019) Rowland and Tozer’s clinical pharmacokinetics and pharmacodynamics: concepts and applications, Wolters Kluwer, South Holland. de Velde, F, Mouton, JW, de Winter, BC, van Gelder, T, Koch, BC (2018) Clinical applications of populat</t>
        </is>
      </c>
      <c r="F274">
        <f>HYPERLINK("https://scholar.google.com/scholar?q=https%3A%2F%2Fdoi.org%2F10.1128%2FAAC.42.7.1731+Czock%2C+D%2C+%26+Keller%2C+F+%282007%29+Mechanism-based+pharmacokinetic-pharmacodynamic+model","search")</f>
        <v/>
      </c>
      <c r="G274" s="3" t="n"/>
      <c r="H274" s="3" t="n"/>
      <c r="I274" s="3" t="n"/>
      <c r="J274" s="3" t="n"/>
      <c r="K274" t="inlineStr">
        <is>
          <t>NO</t>
        </is>
      </c>
      <c r="L274" s="3" t="n"/>
    </row>
    <row r="275" ht="42" customHeight="1">
      <c r="A275" t="inlineStr">
        <is>
          <t>F274</t>
        </is>
      </c>
      <c r="B275" t="inlineStr">
        <is>
          <t>2023</t>
        </is>
      </c>
      <c r="C275" t="inlineStr">
        <is>
          <t>NeurIPS_2023</t>
        </is>
      </c>
      <c r="D275" t="inlineStr">
        <is>
          <t>081b08068e4733ae3e7ad019fe8d172f-Paper-Conference.pdf</t>
        </is>
      </c>
      <c r="E275" s="2" t="inlineStr">
        <is>
          <t>Yinhao Li, Zheng Ge, Guanyi Yu, Jinrong Yang, Zengran Wang, Yukang Shi, Jianjian Sun, and Zeming Li. Bevdepth: Acquisition of reliable depth for multi-view 3d object detection. arXiv preprint arXiv:2206.10092, 2022.</t>
        </is>
      </c>
      <c r="F275">
        <f>HYPERLINK("https://scholar.google.com/scholar?q=Yinhao+Li%2C+Zheng+Ge%2C+Guanyi+Yu%2C+Jinrong+Yang%2C+Zengran+Wang%2C+Yukang+Shi%2C+Jianjian+Sun%2C+and+Zeming+Li.+Bevdepth%3A+Acquisiti","search")</f>
        <v/>
      </c>
      <c r="G275" s="3" t="n"/>
      <c r="H275" s="3" t="n"/>
      <c r="I275" s="3" t="n"/>
      <c r="J275" s="3" t="n"/>
      <c r="K275" t="inlineStr">
        <is>
          <t>NO</t>
        </is>
      </c>
      <c r="L275" s="3" t="n"/>
    </row>
    <row r="276" ht="42" customHeight="1">
      <c r="A276" t="inlineStr">
        <is>
          <t>F275</t>
        </is>
      </c>
      <c r="B276" t="inlineStr">
        <is>
          <t>2025</t>
        </is>
      </c>
      <c r="C276" t="inlineStr">
        <is>
          <t>Arxiv_CS_2025</t>
        </is>
      </c>
      <c r="D276" t="inlineStr">
        <is>
          <t>2501.16591v1.pdf</t>
        </is>
      </c>
      <c r="E276" s="2" t="inlineStr">
        <is>
          <t>Lahouar, A., &amp; Slama, J. B. H. (2017). Hour-ahead wind power forecast based on random forests. Renewable   energy, 109, 529–541.  Li, G., &amp; Chiang, H.-D. (2016). Toward cost-oriented forecasting of wind power generation. IEEE  Transactions on Smart Grid, 9, 2508–2517.  Lillicrap, T. P., Hunt, J. J., Pritzel, A., Heess, N., Erez, T., Tassa, Y., Silver, D., &amp; Wierstra, D. (2015).  Continuous control with deep reinforcement learning. arXiv preprint arXiv:1509.02971 , .  Liu, M., Cao, Z., Zhang, J.,</t>
        </is>
      </c>
      <c r="F276">
        <f>HYPERLINK("https://scholar.google.com/scholar?q=Lahouar%2C+A.%2C+%26+Slama%2C+J.+B.+H.+%282017%29.+Hour-ahead+wind+power+forecast+based+on+random+forests.+Renewable+++energy%2C+109%2C+","search")</f>
        <v/>
      </c>
      <c r="G276" s="3" t="n"/>
      <c r="H276" s="3" t="n"/>
      <c r="I276" s="3" t="n"/>
      <c r="J276" s="3" t="n"/>
      <c r="K276" t="inlineStr">
        <is>
          <t>NO</t>
        </is>
      </c>
      <c r="L276" s="3" t="n"/>
    </row>
    <row r="277" ht="42" customHeight="1">
      <c r="A277" t="inlineStr">
        <is>
          <t>F276</t>
        </is>
      </c>
      <c r="B277" t="inlineStr">
        <is>
          <t>2016</t>
        </is>
      </c>
      <c r="C277" t="inlineStr">
        <is>
          <t>NeurIPS_2016</t>
        </is>
      </c>
      <c r="D277" t="inlineStr">
        <is>
          <t>06409663226af2f3114485aa4e0a23b4-Paper.pdf</t>
        </is>
      </c>
      <c r="E277" s="2" t="inlineStr">
        <is>
          <t>I. Sutskever, O. Vinyals, and Q. V. Le. Sequence to sequence learning with neural networks. In NIPS, pages 3104–3112, 2014.</t>
        </is>
      </c>
      <c r="F277">
        <f>HYPERLINK("https://scholar.google.com/scholar?q=I.+Sutskever%2C+O.+Vinyals%2C+and+Q.+V.+Le.+Sequence+to+sequence+learning+with+neural+networks.+In+NIPS%2C+pages+3104%E2%80%933112%2C+20","search")</f>
        <v/>
      </c>
      <c r="G277" s="3" t="n"/>
      <c r="H277" s="3" t="n"/>
      <c r="I277" s="3" t="n"/>
      <c r="J277" s="3" t="n"/>
      <c r="K277" t="inlineStr">
        <is>
          <t>YES</t>
        </is>
      </c>
      <c r="L277" s="3" t="n"/>
    </row>
    <row r="278" ht="42" customHeight="1">
      <c r="A278" t="inlineStr">
        <is>
          <t>F277</t>
        </is>
      </c>
      <c r="B278" t="inlineStr">
        <is>
          <t>2023</t>
        </is>
      </c>
      <c r="C278" t="inlineStr">
        <is>
          <t>NeurIPS_2023</t>
        </is>
      </c>
      <c r="D278" t="inlineStr">
        <is>
          <t>05e552739c2629f3324c1063a382b4bd-Paper-Conference.pdf</t>
        </is>
      </c>
      <c r="E278" s="2" t="inlineStr">
        <is>
          <t>Dmitry Kamzolov, Alexander Gasnikov, and Pavel Dvurechensky. Optimal combination of tensor optimization methods. In Optimization and Applications: 11th International Conference, OPTIMA 2020, Moscow, Russia, September 28–October 2, 2020, Proceedings 11, pages 166–</t>
        </is>
      </c>
      <c r="F278">
        <f>HYPERLINK("https://scholar.google.com/scholar?q=Dmitry+Kamzolov%2C+Alexander+Gasnikov%2C+and+Pavel+Dvurechensky.+Optimal+combination+of+tensor+optimization+methods.+In+Opti","search")</f>
        <v/>
      </c>
      <c r="G278" s="3" t="n"/>
      <c r="H278" s="3" t="n"/>
      <c r="I278" s="3" t="n"/>
      <c r="J278" s="3" t="n"/>
      <c r="K278" t="inlineStr">
        <is>
          <t>YES</t>
        </is>
      </c>
      <c r="L278" s="3" t="n"/>
    </row>
    <row r="279" ht="42" customHeight="1">
      <c r="A279" t="inlineStr">
        <is>
          <t>F278</t>
        </is>
      </c>
      <c r="B279" t="inlineStr">
        <is>
          <t>2016</t>
        </is>
      </c>
      <c r="C279" t="inlineStr">
        <is>
          <t>Arxiv_Bio_2016</t>
        </is>
      </c>
      <c r="D279" t="inlineStr">
        <is>
          <t>1609.04636v2.pdf</t>
        </is>
      </c>
      <c r="E279" s="2" t="inlineStr">
        <is>
          <t xml:space="preserve">Achard, S., Salvador, R., Whitcher, B., Suckling, J., &amp; Bullmore, E. (2006). A resilient, low‐frequency,  small‐world human brain functional network with highly connected association cortical hubs. The  Journal of Neuroscience : The Official Journal of the Society for Neuroscience, 26(1), 63–72.  http://doi.org/10.1523/JNEUROSCI.3874‐05.2006  Amunts, K., Schleicher, A., Bürgel, U., Mohlberg, H., Uylings, H. B. M., &amp; Zilles, K. (1999). Broca’s  region revisited: Cytoarchitecture and intersubject </t>
        </is>
      </c>
      <c r="F279">
        <f>HYPERLINK("https://scholar.google.com/scholar?q=Achard%2C%C2%A0S.%2C%C2%A0Salvador%2C%C2%A0R.%2C%C2%A0Whitcher%2C%C2%A0B.%2C%C2%A0Suckling%2C%C2%A0J.%2C%C2%A0%26%C2%A0Bullmore%2C%C2%A0E.%C2%A0%282006%29.%C2%A0A%C2%A0resilient%2C%C2%A0low%E2%80%90frequency%2C%C2%A0+small%E2%80%90world%C2%A0hu","search")</f>
        <v/>
      </c>
      <c r="G279" s="3" t="n"/>
      <c r="H279" s="3" t="n"/>
      <c r="I279" s="3" t="n"/>
      <c r="J279" s="3" t="n"/>
      <c r="K279" t="inlineStr">
        <is>
          <t>YES</t>
        </is>
      </c>
      <c r="L279" s="3" t="n"/>
    </row>
    <row r="280" ht="42" customHeight="1">
      <c r="A280" t="inlineStr">
        <is>
          <t>F279</t>
        </is>
      </c>
      <c r="B280" t="inlineStr">
        <is>
          <t>2016</t>
        </is>
      </c>
      <c r="C280" t="inlineStr">
        <is>
          <t>NeurIPS_2016</t>
        </is>
      </c>
      <c r="D280" t="inlineStr">
        <is>
          <t>07811dc6c422334ce36a09ff5cd6fe71-Paper.pdf</t>
        </is>
      </c>
      <c r="E280" s="2" t="inlineStr">
        <is>
          <t>Y. LeCun, B. Boser, J. Denker, D. Henderson, R. Howard, W. Hubbard, and L. Jackel. Handwritten digit recognition with a back-propagation network. In NIPS, 1989.</t>
        </is>
      </c>
      <c r="F280">
        <f>HYPERLINK("https://scholar.google.com/scholar?q=Y.+LeCun%2C+B.+Boser%2C+J.+Denker%2C+D.+Henderson%2C+R.+Howard%2C+W.+Hubbard%2C+and+L.+Jackel.+Handwritten+digit+recognition+with+a+","search")</f>
        <v/>
      </c>
      <c r="G280" s="3" t="n"/>
      <c r="H280" s="3" t="n"/>
      <c r="I280" s="3" t="n"/>
      <c r="J280" s="3" t="n"/>
      <c r="K280" t="inlineStr">
        <is>
          <t>NO</t>
        </is>
      </c>
      <c r="L280" s="3" t="n"/>
    </row>
    <row r="281" ht="42" customHeight="1">
      <c r="A281" t="inlineStr">
        <is>
          <t>F280</t>
        </is>
      </c>
      <c r="B281" t="inlineStr">
        <is>
          <t>2023</t>
        </is>
      </c>
      <c r="C281" t="inlineStr">
        <is>
          <t>NeurIPS_2023</t>
        </is>
      </c>
      <c r="D281" t="inlineStr">
        <is>
          <t>060b2af0081a460f7f466f7f174d9052-Paper-Conference.pdf</t>
        </is>
      </c>
      <c r="E281" s="2" t="inlineStr">
        <is>
          <t>Lucas Theis and Eirikur Agustsson. On the advantages of stochastic encoders. In Neural Compression Workshop at ICLR, 2021. 6</t>
        </is>
      </c>
      <c r="F281">
        <f>HYPERLINK("https://scholar.google.com/scholar?q=Lucas+Theis+and+Eirikur+Agustsson.+On+the+advantages+of+stochastic+encoders.+In+Neural+Compression+Workshop+at+ICLR%2C+202","search")</f>
        <v/>
      </c>
      <c r="G281" s="3" t="n"/>
      <c r="H281" s="3" t="n"/>
      <c r="I281" s="3" t="n"/>
      <c r="J281" s="3" t="n"/>
      <c r="K281" t="inlineStr">
        <is>
          <t>NO</t>
        </is>
      </c>
      <c r="L281" s="3" t="n"/>
    </row>
    <row r="282" ht="42" customHeight="1">
      <c r="A282" t="inlineStr">
        <is>
          <t>F281</t>
        </is>
      </c>
      <c r="B282" t="inlineStr">
        <is>
          <t>2025</t>
        </is>
      </c>
      <c r="C282" t="inlineStr">
        <is>
          <t>Arxiv_CS_2025</t>
        </is>
      </c>
      <c r="D282" t="inlineStr">
        <is>
          <t>2501.09194v2.pdf</t>
        </is>
      </c>
      <c r="E282" s="2" t="inlineStr">
        <is>
          <t>Stefan Elfwing, Eiji Uchibe, and Kenji Doya. Sigmoid- weighted linear units for neural network function approxima- tion in reinforcement learning. Neural networks, 107:3–11,</t>
        </is>
      </c>
      <c r="F282">
        <f>HYPERLINK("https://scholar.google.com/scholar?q=Stefan+Elfwing%2C+Eiji+Uchibe%2C+and+Kenji+Doya.+Sigmoid-+weighted+linear+units+for+neural+network+function+approxima-+tion+","search")</f>
        <v/>
      </c>
      <c r="G282" s="3" t="n"/>
      <c r="H282" s="3" t="n"/>
      <c r="I282" s="3" t="n"/>
      <c r="J282" s="3" t="n"/>
      <c r="K282" t="inlineStr">
        <is>
          <t>NO</t>
        </is>
      </c>
      <c r="L282" s="3" t="n"/>
    </row>
    <row r="283" ht="42" customHeight="1">
      <c r="A283" t="inlineStr">
        <is>
          <t>F282</t>
        </is>
      </c>
      <c r="B283" t="inlineStr">
        <is>
          <t>2016</t>
        </is>
      </c>
      <c r="C283" t="inlineStr">
        <is>
          <t>Arxiv_Bio_2016</t>
        </is>
      </c>
      <c r="D283" t="inlineStr">
        <is>
          <t>1602.07956v1.pdf</t>
        </is>
      </c>
      <c r="E283" s="2" t="inlineStr">
        <is>
          <t>Abney, M. 2009. A graphical algorithm for fast computation of identity coeﬃ- cients and generalized kinship coeﬃcients. Bioinformatics, 25(12):1561–1563. Astle, W. and Balding, D. J. 2009. Population structure and cryptic relatedness in genetic association studies. Statist. Sci., 24(4):451–471. Browning, B. L. and Browning, S. R. 2011. A fast, powerful method for detecting identity by descent. American journal of human genetics, 88(2):173–182. Eu-ahsunthornwattana, J., Miller, E., Fakiola, M., C</t>
        </is>
      </c>
      <c r="F283">
        <f>HYPERLINK("https://scholar.google.com/scholar?q=Abney%2C+M.+2009.+A+graphical+algorithm+for+fast+computation+of+identity+coe%EF%AC%83-+cients+and+generalized+kinship+coe%EF%AC%83cients.+","search")</f>
        <v/>
      </c>
      <c r="G283" s="3" t="n"/>
      <c r="H283" s="3" t="n"/>
      <c r="I283" s="3" t="n"/>
      <c r="J283" s="3" t="n"/>
      <c r="K283" t="inlineStr">
        <is>
          <t>NO</t>
        </is>
      </c>
      <c r="L283" s="3" t="n"/>
    </row>
    <row r="284" ht="42" customHeight="1">
      <c r="A284" t="inlineStr">
        <is>
          <t>F283</t>
        </is>
      </c>
      <c r="B284" t="inlineStr">
        <is>
          <t>2025</t>
        </is>
      </c>
      <c r="C284" t="inlineStr">
        <is>
          <t>Arxiv_CS_2025</t>
        </is>
      </c>
      <c r="D284" t="inlineStr">
        <is>
          <t>2501.13946v1.pdf</t>
        </is>
      </c>
      <c r="E284" s="2" t="inlineStr">
        <is>
          <t>Diego Gosmar, Deborah A. Dahl, and Emmett Coin. Conversational ai multi-agent interoperability, universal open apis for agentic natural language multimodal communications. https://arxiv.org/abs/2407.19438, 2024.</t>
        </is>
      </c>
      <c r="F284">
        <f>HYPERLINK("https://scholar.google.com/scholar?q=Diego+Gosmar%2C+Deborah+A.+Dahl%2C+and+Emmett+Coin.+Conversational+ai+multi-agent+interoperability%2C+universal+open+apis+for+","search")</f>
        <v/>
      </c>
      <c r="G284" s="3" t="n"/>
      <c r="H284" s="3" t="n"/>
      <c r="I284" s="3" t="n"/>
      <c r="J284" s="3" t="n"/>
      <c r="K284" t="inlineStr">
        <is>
          <t>YES</t>
        </is>
      </c>
      <c r="L284" s="3" t="n"/>
    </row>
    <row r="285" ht="42" customHeight="1">
      <c r="A285" t="inlineStr">
        <is>
          <t>F284</t>
        </is>
      </c>
      <c r="B285" t="inlineStr">
        <is>
          <t>2016</t>
        </is>
      </c>
      <c r="C285" t="inlineStr">
        <is>
          <t>Arxiv_CS_2016</t>
        </is>
      </c>
      <c r="D285" t="inlineStr">
        <is>
          <t>1604.08448v2.pdf</t>
        </is>
      </c>
      <c r="E285" s="2" t="inlineStr">
        <is>
          <t xml:space="preserve">Barnhart, C., Johnson, E. L., Nemhauser, G. L., Savelsbergh, M. W. P., &amp; Vance, P. H. (1998). Branch-and-price: Column generation for solving huge integer programs. Operations Research, 46, 316–329. Bastert, O., Hummel, B. &amp; de Vries, S. (2010). A generalized Wedelin heuristic for integer programming. INFORMS Journal on Computing, 22, 93–107. Beasley, J. E. (1990). OR-Library: Distributing test problems by electronic mail. Journal of the Operational Research Society, 41, 1069–1072. Benoist, T., </t>
        </is>
      </c>
      <c r="F285">
        <f>HYPERLINK("https://scholar.google.com/scholar?q=Barnhart%2C+C.%2C+Johnson%2C+E.+L.%2C+Nemhauser%2C+G.+L.%2C+Savelsbergh%2C+M.+W.+P.%2C+%26+Vance%2C+P.+H.+%281998%29.+Branch-and-price%3A+Column+g","search")</f>
        <v/>
      </c>
      <c r="G285" s="3" t="n"/>
      <c r="H285" s="3" t="n"/>
      <c r="I285" s="3" t="n"/>
      <c r="J285" s="3" t="n"/>
      <c r="K285" t="inlineStr">
        <is>
          <t>YES</t>
        </is>
      </c>
      <c r="L285" s="3" t="n"/>
    </row>
    <row r="286" ht="42" customHeight="1">
      <c r="A286" t="inlineStr">
        <is>
          <t>F285</t>
        </is>
      </c>
      <c r="B286" t="inlineStr">
        <is>
          <t>2023</t>
        </is>
      </c>
      <c r="C286" t="inlineStr">
        <is>
          <t>NeurIPS_2023</t>
        </is>
      </c>
      <c r="D286" t="inlineStr">
        <is>
          <t>08342dc6ab69f23167b4123086ad4d38-Paper-Conference.pdf</t>
        </is>
      </c>
      <c r="E286" s="2" t="inlineStr">
        <is>
          <t>Sergio Batiz-Solorzano. On decisions with multiple objectives: Review and classification of prescriptive methodologies, a group value function problem, and applications of a measure of information to a class of multiattribute problems. Rice University, 1979.</t>
        </is>
      </c>
      <c r="F286">
        <f>HYPERLINK("https://scholar.google.com/scholar?q=Sergio+Batiz-Solorzano.+On+decisions+with+multiple+objectives%3A+Review+and+classification+of+prescriptive+methodologies%2C+","search")</f>
        <v/>
      </c>
      <c r="G286" s="3" t="n"/>
      <c r="H286" s="3" t="n"/>
      <c r="I286" s="3" t="n"/>
      <c r="J286" s="3" t="n"/>
      <c r="K286" t="inlineStr">
        <is>
          <t>NO</t>
        </is>
      </c>
      <c r="L286" s="3" t="n"/>
    </row>
    <row r="287" ht="42" customHeight="1">
      <c r="A287" t="inlineStr">
        <is>
          <t>F286</t>
        </is>
      </c>
      <c r="B287" t="inlineStr">
        <is>
          <t>2016</t>
        </is>
      </c>
      <c r="C287" t="inlineStr">
        <is>
          <t>NeurIPS_2016</t>
        </is>
      </c>
      <c r="D287" t="inlineStr">
        <is>
          <t>18d10dc6e666eab6de9215ae5b3d54df-Paper.pdf</t>
        </is>
      </c>
      <c r="E287" s="2" t="inlineStr">
        <is>
          <t>Törn, A. and Zilinskas, A. (1989). Global optimization, volume 350 of lecture notes in computer science.</t>
        </is>
      </c>
      <c r="F287">
        <f>HYPERLINK("https://scholar.google.com/scholar?q=T%C3%B6rn%2C+A.+and+Zilinskas%2C+A.+%281989%29.+Global+optimization%2C+volume+350+of+lecture+notes+in+computer+science.","search")</f>
        <v/>
      </c>
      <c r="G287" s="3" t="n"/>
      <c r="H287" s="3" t="n"/>
      <c r="I287" s="3" t="n"/>
      <c r="J287" s="3" t="n"/>
      <c r="K287" t="inlineStr">
        <is>
          <t>NO</t>
        </is>
      </c>
      <c r="L287" s="3" t="n"/>
    </row>
    <row r="288" ht="42" customHeight="1">
      <c r="A288" t="inlineStr">
        <is>
          <t>F287</t>
        </is>
      </c>
      <c r="B288" t="inlineStr">
        <is>
          <t>2025</t>
        </is>
      </c>
      <c r="C288" t="inlineStr">
        <is>
          <t>Arxiv_CS_2025</t>
        </is>
      </c>
      <c r="D288" t="inlineStr">
        <is>
          <t>2501.16361v1.pdf</t>
        </is>
      </c>
      <c r="E288" s="2" t="inlineStr">
        <is>
          <t>Zhang H, Goedegebuure SP, Ding L, et al. M3NetFlow: a novel multi-scale multi-hop  multi-omics graph AI model for omics data integration and interpretation. bioRxiv.  Published online 2023. doi:10.1101/2023.06.15.545130</t>
        </is>
      </c>
      <c r="F288">
        <f>HYPERLINK("https://scholar.google.com/scholar?q=Zhang+H%2C+Goedegebuure+SP%2C+Ding+L%2C+et+al.+M3NetFlow%3A+a+novel+multi-scale+multi-hop++multi-omics+graph+AI+model+for+omics+","search")</f>
        <v/>
      </c>
      <c r="G288" s="3" t="n"/>
      <c r="H288" s="3" t="n"/>
      <c r="I288" s="3" t="n"/>
      <c r="J288" s="3" t="n"/>
      <c r="K288" t="inlineStr">
        <is>
          <t>NO</t>
        </is>
      </c>
      <c r="L288" s="3" t="n"/>
    </row>
    <row r="289" ht="42" customHeight="1">
      <c r="A289" t="inlineStr">
        <is>
          <t>F288</t>
        </is>
      </c>
      <c r="B289" t="inlineStr">
        <is>
          <t>2016</t>
        </is>
      </c>
      <c r="C289" t="inlineStr">
        <is>
          <t>NeurIPS_2016</t>
        </is>
      </c>
      <c r="D289" t="inlineStr">
        <is>
          <t>0245952ecff55018e2a459517fdb40e3-Paper.pdf</t>
        </is>
      </c>
      <c r="E289" s="2" t="inlineStr">
        <is>
          <t>A. Korattikara, V. Rathod, K. Murphy, and M. Welling. Bayesian dark knowledge. NIPS, 2015.</t>
        </is>
      </c>
      <c r="F289">
        <f>HYPERLINK("https://scholar.google.com/scholar?q=A.+Korattikara%2C+V.+Rathod%2C+K.+Murphy%2C+and+M.+Welling.+Bayesian+dark+knowledge.+NIPS%2C+2015.","search")</f>
        <v/>
      </c>
      <c r="G289" s="3" t="n"/>
      <c r="H289" s="3" t="n"/>
      <c r="I289" s="3" t="n"/>
      <c r="J289" s="3" t="n"/>
      <c r="K289" t="inlineStr">
        <is>
          <t>NO</t>
        </is>
      </c>
      <c r="L289" s="3" t="n"/>
    </row>
    <row r="290" ht="42" customHeight="1">
      <c r="A290" t="inlineStr">
        <is>
          <t>F289</t>
        </is>
      </c>
      <c r="B290" t="inlineStr">
        <is>
          <t>2023</t>
        </is>
      </c>
      <c r="C290" t="inlineStr">
        <is>
          <t>Arxiv_Bio_2023</t>
        </is>
      </c>
      <c r="D290" t="inlineStr">
        <is>
          <t>2308.16212v2.pdf</t>
        </is>
      </c>
      <c r="E290" s="2" t="inlineStr">
        <is>
          <t>Dongchao Yang, Jianwei Yu, Helin Wang, Wen Wang, Chao Weng, Yuexian Zou, and Dong Yu. Diffsound: Discrete diffusion model for text-to-sound generation. IEEE/ACM Transactions on Audio, Speech, and Language Processing, 2023. Shuangjia Zheng, Jiahua Rao, Zhongyue Zhang, Jun Xu, and Yuedong Yang. Predicting retrosyn- thetic reactions using self-corrected transformer neural networks. Journal of chemical information and modeling, 60(1):47–55, 2019. Zipeng Zhong, Jie Song, Zunlei Feng, Tiantao Liu, Lin</t>
        </is>
      </c>
      <c r="F290">
        <f>HYPERLINK("https://scholar.google.com/scholar?q=Dongchao+Yang%2C+Jianwei+Yu%2C+Helin+Wang%2C+Wen+Wang%2C+Chao+Weng%2C+Yuexian+Zou%2C+and+Dong+Yu.+Diffsound%3A+Discrete+diffusion+mode","search")</f>
        <v/>
      </c>
      <c r="G290" s="3" t="n"/>
      <c r="H290" s="3" t="n"/>
      <c r="I290" s="3" t="n"/>
      <c r="J290" s="3" t="n"/>
      <c r="K290" t="inlineStr">
        <is>
          <t>NO</t>
        </is>
      </c>
      <c r="L290" s="3" t="n"/>
    </row>
    <row r="291" ht="42" customHeight="1">
      <c r="A291" t="inlineStr">
        <is>
          <t>F290</t>
        </is>
      </c>
      <c r="B291" t="inlineStr">
        <is>
          <t>2016</t>
        </is>
      </c>
      <c r="C291" t="inlineStr">
        <is>
          <t>NeurIPS_2016</t>
        </is>
      </c>
      <c r="D291" t="inlineStr">
        <is>
          <t>01eee509ee2f68dc6014898c309e86bf-Paper.pdf</t>
        </is>
      </c>
      <c r="E291" s="2" t="inlineStr">
        <is>
          <t>Schmidhuber, J. and Huber, R. Learning to generate artiﬁcial fovea trajectories for target detection. International Journal of Neural Systems, 2(01n02):125–134, 1991.</t>
        </is>
      </c>
      <c r="F291">
        <f>HYPERLINK("https://scholar.google.com/scholar?q=Schmidhuber%2C+J.+and+Huber%2C+R.+Learning+to+generate+arti%EF%AC%81cial+fovea+trajectories+for+target+detection.+International+Jour","search")</f>
        <v/>
      </c>
      <c r="G291" s="3" t="n"/>
      <c r="H291" s="3" t="n"/>
      <c r="I291" s="3" t="n"/>
      <c r="J291" s="3" t="n"/>
      <c r="K291" t="inlineStr">
        <is>
          <t>YES</t>
        </is>
      </c>
      <c r="L291" s="3" t="n"/>
    </row>
    <row r="292" ht="42" customHeight="1">
      <c r="A292" t="inlineStr">
        <is>
          <t>F291</t>
        </is>
      </c>
      <c r="B292" t="inlineStr">
        <is>
          <t>2023</t>
        </is>
      </c>
      <c r="C292" t="inlineStr">
        <is>
          <t>Arxiv_CS_2023</t>
        </is>
      </c>
      <c r="D292" t="inlineStr">
        <is>
          <t>2311.08999v2.pdf</t>
        </is>
      </c>
      <c r="E292" s="2" t="inlineStr">
        <is>
          <t>DentalMonitoring</t>
        </is>
      </c>
      <c r="F292">
        <f>HYPERLINK("https://scholar.google.com/scholar?q=DentalMonitoring","search")</f>
        <v/>
      </c>
      <c r="G292" s="3" t="n"/>
      <c r="H292" s="3" t="n"/>
      <c r="I292" s="3" t="n"/>
      <c r="J292" s="3" t="n"/>
      <c r="K292" t="inlineStr">
        <is>
          <t>NO</t>
        </is>
      </c>
      <c r="L292" s="3" t="n"/>
    </row>
    <row r="293" ht="42" customHeight="1">
      <c r="A293" t="inlineStr">
        <is>
          <t>F292</t>
        </is>
      </c>
      <c r="B293" t="inlineStr">
        <is>
          <t>2025</t>
        </is>
      </c>
      <c r="C293" t="inlineStr">
        <is>
          <t>Arxiv_CS_2025</t>
        </is>
      </c>
      <c r="D293" t="inlineStr">
        <is>
          <t>2501.18539v1.pdf</t>
        </is>
      </c>
      <c r="E293" s="2" t="inlineStr">
        <is>
          <t>Tree of thoughts: Deliberate problem solving with large language models. Advances in Neural Information Processing Systems, 36. Shunyu Yao, Jeffrey Zhao, Dian Yu, Nan Du, Izhak Shafran, Karthik Narasimhan, and Yuan Cao. 2022. React: Synergizing reasoning and acting in language models. arXiv preprint arXiv:2210.03629. Weinan Zhang, Junwei Liao, Ning Li, and Kounian- hua Du. 2024. Agentic information retrieval. arXiv preprint arXiv:2410.09713. Denny Zhou, Nathanael Schärli, Le Hou, Jason Wei, Nath</t>
        </is>
      </c>
      <c r="F293">
        <f>HYPERLINK("https://scholar.google.com/scholar?q=Tree+of+thoughts%3A+Deliberate+problem+solving+with+large+language+models.+Advances+in+Neural+Information+Processing+Syste","search")</f>
        <v/>
      </c>
      <c r="G293" s="3" t="n"/>
      <c r="H293" s="3" t="n"/>
      <c r="I293" s="3" t="n"/>
      <c r="J293" s="3" t="n"/>
      <c r="K293" t="inlineStr">
        <is>
          <t>YES</t>
        </is>
      </c>
      <c r="L293" s="3" t="n"/>
    </row>
    <row r="294" ht="42" customHeight="1">
      <c r="A294" t="inlineStr">
        <is>
          <t>F293</t>
        </is>
      </c>
      <c r="B294" t="inlineStr">
        <is>
          <t>2025</t>
        </is>
      </c>
      <c r="C294" t="inlineStr">
        <is>
          <t>NeurIPS_2025</t>
        </is>
      </c>
      <c r="D294" t="inlineStr">
        <is>
          <t>04b7e69b74d8637d554849a9c313a0f7-Paper-Conference.pdf</t>
        </is>
      </c>
      <c r="E294" s="2" t="inlineStr">
        <is>
          <t>Z.-Y. Li, R. Du, J. Yan, L. Zhuo, Z. Li, P. Gao, Z. Ma, and M.-M. Cheng. Visualcloze: A universal image generation framework via visual in-context learning. arXiv preprint arXiv:2504.07960, 2025.</t>
        </is>
      </c>
      <c r="F294">
        <f>HYPERLINK("https://scholar.google.com/scholar?q=Z.-Y.+Li%2C+R.+Du%2C+J.+Yan%2C+L.+Zhuo%2C+Z.+Li%2C+P.+Gao%2C+Z.+Ma%2C+and+M.-M.+Cheng.+Visualcloze%3A+A+universal+image+generation+frame","search")</f>
        <v/>
      </c>
      <c r="G294" s="3" t="n"/>
      <c r="H294" s="3" t="n"/>
      <c r="I294" s="3" t="n"/>
      <c r="J294" s="3" t="n"/>
      <c r="K294" t="inlineStr">
        <is>
          <t>YES</t>
        </is>
      </c>
      <c r="L294" s="3" t="n"/>
    </row>
    <row r="295" ht="42" customHeight="1">
      <c r="A295" t="inlineStr">
        <is>
          <t>F294</t>
        </is>
      </c>
      <c r="B295" t="inlineStr">
        <is>
          <t>2023</t>
        </is>
      </c>
      <c r="C295" t="inlineStr">
        <is>
          <t>Arxiv_CS_2023</t>
        </is>
      </c>
      <c r="D295" t="inlineStr">
        <is>
          <t>2312.11983v1.pdf</t>
        </is>
      </c>
      <c r="E295" s="2" t="inlineStr">
        <is>
          <t>OPT: Open pre-trained transformer language models. arXiv:2205.01068. Zhou, A.; Ma, Y.; Zhu, J.; Liu, J.; Zhang, Z.; Yuan, K.; Sun, W.; and Li, H. 2021. Learning n: m fine-grained structured sparse neural networks from scratch. arXiv:2102.04010.  A Detailed Experimental Settings Models. We evaluate FLAP on the LLaMA model family (Touvron et al. 2023) and Vicuna-7B model. LLaMA is a set of Transformer-based large language models open-sourced by Meta, mainly including LLaMA-7B/13B/30B/65B. Vicuna i</t>
        </is>
      </c>
      <c r="F295">
        <f>HYPERLINK("https://scholar.google.com/scholar?q=OPT%3A+Open+pre-trained+transformer+language+models.+arXiv%3A2205.01068.+Zhou%2C+A.%3B+Ma%2C+Y.%3B+Zhu%2C+J.%3B+Liu%2C+J.%3B+Zhang%2C+Z.%3B+Yuan","search")</f>
        <v/>
      </c>
      <c r="G295" s="3" t="n"/>
      <c r="H295" s="3" t="n"/>
      <c r="I295" s="3" t="n"/>
      <c r="J295" s="3" t="n"/>
      <c r="K295" t="inlineStr">
        <is>
          <t>NO</t>
        </is>
      </c>
      <c r="L295" s="3" t="n"/>
    </row>
    <row r="296" ht="42" customHeight="1">
      <c r="A296" t="inlineStr">
        <is>
          <t>F295</t>
        </is>
      </c>
      <c r="B296" t="inlineStr">
        <is>
          <t>2025</t>
        </is>
      </c>
      <c r="C296" t="inlineStr">
        <is>
          <t>Arxiv_CS_2025</t>
        </is>
      </c>
      <c r="D296" t="inlineStr">
        <is>
          <t>2501.13994v1.pdf</t>
        </is>
      </c>
      <c r="E296" s="2" t="inlineStr">
        <is>
          <t>Zahra Soleimanitaleb and Mohammad Ali Keyvanrad. 2022. Single Object Track- ing: A Survey of Methods, Datasets, and Evaluation Metrics. CoRR abs/2201.13066 (2022). arXiv:2201.13066 https://arxiv.org/abs/2201.13066</t>
        </is>
      </c>
      <c r="F296">
        <f>HYPERLINK("https://scholar.google.com/scholar?q=Zahra+Soleimanitaleb+and+Mohammad+Ali+Keyvanrad.+2022.+Single+Object+Track-+ing%3A+A+Survey+of+Methods%2C+Datasets%2C+and+Eval","search")</f>
        <v/>
      </c>
      <c r="G296" s="3" t="n"/>
      <c r="H296" s="3" t="n"/>
      <c r="I296" s="3" t="n"/>
      <c r="J296" s="3" t="n"/>
      <c r="K296" t="inlineStr">
        <is>
          <t>YES</t>
        </is>
      </c>
      <c r="L296" s="3" t="n"/>
    </row>
    <row r="297" ht="42" customHeight="1">
      <c r="A297" t="inlineStr">
        <is>
          <t>F296</t>
        </is>
      </c>
      <c r="B297" t="inlineStr">
        <is>
          <t>2023</t>
        </is>
      </c>
      <c r="C297" t="inlineStr">
        <is>
          <t>NeurIPS_2023</t>
        </is>
      </c>
      <c r="D297" t="inlineStr">
        <is>
          <t>0534abc9e6db91683d82186ef0d68202-Paper-Conference.pdf</t>
        </is>
      </c>
      <c r="E297" s="2" t="inlineStr">
        <is>
          <t>Zhichao Yin and Jianping Shi. Geonet: Unsupervised learning of dense depth, optical flow and camera pose. In Proc. CVPR, 2018.</t>
        </is>
      </c>
      <c r="F297">
        <f>HYPERLINK("https://scholar.google.com/scholar?q=Zhichao+Yin+and+Jianping+Shi.+Geonet%3A+Unsupervised+learning+of+dense+depth%2C+optical+flow+and+camera+pose.+In+Proc.+CVPR%2C","search")</f>
        <v/>
      </c>
      <c r="G297" s="3" t="n"/>
      <c r="H297" s="3" t="n"/>
      <c r="I297" s="3" t="n"/>
      <c r="J297" s="3" t="n"/>
      <c r="K297" t="inlineStr">
        <is>
          <t>NO</t>
        </is>
      </c>
      <c r="L297" s="3" t="n"/>
    </row>
    <row r="298" ht="42" customHeight="1">
      <c r="A298" t="inlineStr">
        <is>
          <t>F297</t>
        </is>
      </c>
      <c r="B298" t="inlineStr">
        <is>
          <t>2025</t>
        </is>
      </c>
      <c r="C298" t="inlineStr">
        <is>
          <t>Arxiv_CS_2025</t>
        </is>
      </c>
      <c r="D298" t="inlineStr">
        <is>
          <t>2502.01667v1.pdf</t>
        </is>
      </c>
      <c r="E298" s="2" t="inlineStr">
        <is>
          <t>Xiaoshi Wu, Yiming Hao, Keqiang Sun, Yixiong Chen, Feng Zhu, Rui Zhao, and Hongsheng Li. Human preference score v2: A solid benchmark for evaluating human preferences of text-to- image synthesis. CoRR, abs/2306.09341, 2023. Jiazheng Xu, Xiao Liu, Yuchen Wu, Yuxuan Tong, Qinkai Li, Ming Ding, Jie Tang, and Yuxiao Dong. Imagereward: Learning and evaluating human preferences for text-to-image generation. In NeurIPS, 2023. Kai Yang, Jian Tao, Jiafei Lyu, Chunjiang Ge, Jiaxin Chen, Weihan Shen, Xiaol</t>
        </is>
      </c>
      <c r="F298">
        <f>HYPERLINK("https://scholar.google.com/scholar?q=Xiaoshi+Wu%2C+Yiming+Hao%2C+Keqiang+Sun%2C+Yixiong+Chen%2C+Feng+Zhu%2C+Rui+Zhao%2C+and+Hongsheng+Li.+Human+preference+score+v2%3A+A+so","search")</f>
        <v/>
      </c>
      <c r="G298" s="3" t="n"/>
      <c r="H298" s="3" t="n"/>
      <c r="I298" s="3" t="n"/>
      <c r="J298" s="3" t="n"/>
      <c r="K298" t="inlineStr">
        <is>
          <t>NO</t>
        </is>
      </c>
      <c r="L298" s="3" t="n"/>
    </row>
    <row r="299" ht="42" customHeight="1">
      <c r="A299" t="inlineStr">
        <is>
          <t>F298</t>
        </is>
      </c>
      <c r="B299" t="inlineStr">
        <is>
          <t>2016</t>
        </is>
      </c>
      <c r="C299" t="inlineStr">
        <is>
          <t>NeurIPS_2016</t>
        </is>
      </c>
      <c r="D299" t="inlineStr">
        <is>
          <t>076a0c97d09cf1a0ec3e19c7f2529f2b-Paper.pdf</t>
        </is>
      </c>
      <c r="E299" s="2" t="inlineStr">
        <is>
          <t>R M Neal. Bayesian learning for neural networks. PhD thesis, University of Toronto, 1995.</t>
        </is>
      </c>
      <c r="F299">
        <f>HYPERLINK("https://scholar.google.com/scholar?q=R+M+Neal.+Bayesian+learning+for+neural+networks.+PhD+thesis%2C+University+of+Toronto%2C+1995.","search")</f>
        <v/>
      </c>
      <c r="G299" s="3" t="n"/>
      <c r="H299" s="3" t="n"/>
      <c r="I299" s="3" t="n"/>
      <c r="J299" s="3" t="n"/>
      <c r="K299" t="inlineStr">
        <is>
          <t>YES</t>
        </is>
      </c>
      <c r="L299" s="3" t="n"/>
    </row>
    <row r="300" ht="42" customHeight="1">
      <c r="A300" t="inlineStr">
        <is>
          <t>F299</t>
        </is>
      </c>
      <c r="B300" t="inlineStr">
        <is>
          <t>2025</t>
        </is>
      </c>
      <c r="C300" t="inlineStr">
        <is>
          <t>Arxiv_CS_2025</t>
        </is>
      </c>
      <c r="D300" t="inlineStr">
        <is>
          <t>2502.00382v1.pdf</t>
        </is>
      </c>
      <c r="E300" s="2" t="inlineStr">
        <is>
          <t>Zheng, H., Nie, W., Vahdat, A., and Anandkumar, A. Fast training of diffusion models with masked transformers. arXiv preprint arXiv:2306.09305, 2023. 12  MaGNeTS A. Motivation for Decode Time Model Scaling Our visualization of token density averaged across 50k Ima- geNet samples reveals a dynamic pattern - initial decoding iterations prioritize background regions. In contrast, later iterations focus on the center where foreground objects or region of interest typically reside. This highlights th</t>
        </is>
      </c>
      <c r="F300">
        <f>HYPERLINK("https://scholar.google.com/scholar?q=Zheng%2C+H.%2C+Nie%2C+W.%2C+Vahdat%2C+A.%2C+and+Anandkumar%2C+A.+Fast+training+of+diffusion+models+with+masked+transformers.+arXiv+pre","search")</f>
        <v/>
      </c>
      <c r="G300" s="3" t="n"/>
      <c r="H300" s="3" t="n"/>
      <c r="I300" s="3" t="n"/>
      <c r="J300" s="3" t="n"/>
      <c r="K300" t="inlineStr">
        <is>
          <t>NO</t>
        </is>
      </c>
      <c r="L300" s="3" t="n"/>
    </row>
    <row r="301" ht="42" customHeight="1">
      <c r="A301" t="inlineStr">
        <is>
          <t>F300</t>
        </is>
      </c>
      <c r="B301" t="inlineStr">
        <is>
          <t>2025</t>
        </is>
      </c>
      <c r="C301" t="inlineStr">
        <is>
          <t>Arxiv_CS_2025</t>
        </is>
      </c>
      <c r="D301" t="inlineStr">
        <is>
          <t>2501.17578v1.pdf</t>
        </is>
      </c>
      <c r="E301" s="2" t="inlineStr">
        <is>
          <t>M. Pasini, M. Grachten et al., “Bass accompaniment generation via latent diffusion,” in ICASSP 2024 - 2024 IEEE International Conference on Acoustics, Speech and Signal Processing (ICASSP), 2024.</t>
        </is>
      </c>
      <c r="F301">
        <f>HYPERLINK("https://scholar.google.com/scholar?q=M.+Pasini%2C+M.+Grachten+et+al.%2C+%E2%80%9CBass+accompaniment+generation+via+latent+diffusion%2C%E2%80%9D+in+ICASSP+2024+-+2024+IEEE+Internat","search")</f>
        <v/>
      </c>
      <c r="G301" s="3" t="n"/>
      <c r="H301" s="3" t="n"/>
      <c r="I301" s="3" t="n"/>
      <c r="J301" s="3" t="n"/>
      <c r="K301" t="inlineStr">
        <is>
          <t>NO</t>
        </is>
      </c>
      <c r="L301" s="3" t="n"/>
    </row>
    <row r="302" ht="42" customHeight="1">
      <c r="A302" t="inlineStr">
        <is>
          <t>F301</t>
        </is>
      </c>
      <c r="B302" t="inlineStr">
        <is>
          <t>2023</t>
        </is>
      </c>
      <c r="C302" t="inlineStr">
        <is>
          <t>Arxiv_CS_2023</t>
        </is>
      </c>
      <c r="D302" t="inlineStr">
        <is>
          <t>2310.11976v1.pdf</t>
        </is>
      </c>
      <c r="E302" s="2" t="inlineStr">
        <is>
          <t>Diffusion-nat: Self-prompting discrete diffu- sion for non-autoregressive text generation. CoRR, abs/2305.04044. Yaoming Zhu, Sidi Lu, Lei Zheng, Jiaxian Guo, Weinan Zhang, Jun Wang, and Yong Yu. 2018. Texygen: A benchmarking platform for text generation models. In The 41st International ACM SIGIR Conference on Research &amp; Development in Information Retrieval, SIGIR 2018, Ann Arbor, MI, USA, July 08-12, 2018, pages 1097–1100. ACM. A Related Works A.1 Text Diffusion Models Adapting diffusion model</t>
        </is>
      </c>
      <c r="F302">
        <f>HYPERLINK("https://scholar.google.com/scholar?q=Diffusion-nat%3A+Self-prompting+discrete+diffu-+sion+for+non-autoregressive+text+generation.+CoRR%2C+abs%2F2305.04044.+Yaoming","search")</f>
        <v/>
      </c>
      <c r="G302" s="3" t="n"/>
      <c r="H302" s="3" t="n"/>
      <c r="I302" s="3" t="n"/>
      <c r="J302" s="3" t="n"/>
      <c r="K302" t="inlineStr">
        <is>
          <t>NO</t>
        </is>
      </c>
      <c r="L302" s="3" t="n"/>
    </row>
    <row r="303" ht="42" customHeight="1">
      <c r="A303" t="inlineStr">
        <is>
          <t>F302</t>
        </is>
      </c>
      <c r="B303" t="inlineStr">
        <is>
          <t>2016</t>
        </is>
      </c>
      <c r="C303" t="inlineStr">
        <is>
          <t>Arxiv_Bio_2016</t>
        </is>
      </c>
      <c r="D303" t="inlineStr">
        <is>
          <t>1606.01422v3.pdf</t>
        </is>
      </c>
      <c r="E303" s="2" t="inlineStr">
        <is>
          <t>Discussion We have  estimated  the  R0  of  a  ZIKV  outbreak  occurring  in an  area  typical  of  the  regions  in  the  Americas  that  are  currently affected  by  the  disease. Despite  the  pressing  need  to  estimate  the  R0  for  a  newly  emerg- ing  pandemic  disease,  there  are  currently  only  two  other  estimates of  the  R0  of  a  ZIKV  disease  outbreak  of  which  the  authors  are aware;  the  R0  of  the  2013-14  ZIKV  outbreak  in  French  Polynesia was  recently  estim</t>
        </is>
      </c>
      <c r="F303">
        <f>HYPERLINK("https://scholar.google.com/scholar?q=Discussion+We+have++estimated++the++R0++of++a++ZIKV++outbreak++occurring++in+an++area++typical++of++the++regions++in++th","search")</f>
        <v/>
      </c>
      <c r="G303" s="3" t="n"/>
      <c r="H303" s="3" t="n"/>
      <c r="I303" s="3" t="n"/>
      <c r="J303" s="3" t="n"/>
      <c r="K303" t="inlineStr">
        <is>
          <t>NO</t>
        </is>
      </c>
      <c r="L303" s="3" t="n"/>
    </row>
    <row r="304" ht="42" customHeight="1">
      <c r="A304" t="inlineStr">
        <is>
          <t>F303</t>
        </is>
      </c>
      <c r="B304" t="inlineStr">
        <is>
          <t>2023</t>
        </is>
      </c>
      <c r="C304" t="inlineStr">
        <is>
          <t>Arxiv_Bio_2023</t>
        </is>
      </c>
      <c r="D304" t="inlineStr">
        <is>
          <t>2401.06151v1.pdf</t>
        </is>
      </c>
      <c r="E304" s="2" t="inlineStr">
        <is>
          <t>Namrata Anand and Tudor Achim. Protein structure and sequence generation with equivariant denoising diffusion probabilistic models. arXiv preprint arXiv:2205.15019, 2022. Jacob Austin, Daniel D. Johnson, Jonathan Ho, Daniel Tarlow, and Rianne van den Berg. Structured denoising diffusion models in discrete state-spaces. In M. Ranzato, A. Beygelz- imer, Y. Dauphin, P.S. Liang, and J. Wortman Vaughan, editors, Advances in Neu- ral Information Processing Systems, volume 34, pages 17981–17993. Curran</t>
        </is>
      </c>
      <c r="F304">
        <f>HYPERLINK("https://scholar.google.com/scholar?q=Namrata+Anand+and+Tudor+Achim.+Protein+structure+and+sequence+generation+with+equivariant+denoising+diffusion+probabilis","search")</f>
        <v/>
      </c>
      <c r="G304" s="3" t="n"/>
      <c r="H304" s="3" t="n"/>
      <c r="I304" s="3" t="n"/>
      <c r="J304" s="3" t="n"/>
      <c r="K304" t="inlineStr">
        <is>
          <t>YES</t>
        </is>
      </c>
      <c r="L304" s="3" t="n"/>
    </row>
    <row r="305" ht="42" customHeight="1">
      <c r="A305" t="inlineStr">
        <is>
          <t>F304</t>
        </is>
      </c>
      <c r="B305" t="inlineStr">
        <is>
          <t>2025</t>
        </is>
      </c>
      <c r="C305" t="inlineStr">
        <is>
          <t>Arxiv_CS_2025</t>
        </is>
      </c>
      <c r="D305" t="inlineStr">
        <is>
          <t>2501.14005v1.pdf</t>
        </is>
      </c>
      <c r="E305" s="2" t="inlineStr">
        <is>
          <t>X. Yang, D. Yang, Y. Dong, W. Yu, H. Su, and J. Zhu, “Delving into the adversarial robustness on face recognition,” arXiv, 2020.</t>
        </is>
      </c>
      <c r="F305">
        <f>HYPERLINK("https://scholar.google.com/scholar?q=X.+Yang%2C+D.+Yang%2C+Y.+Dong%2C+W.+Yu%2C+H.+Su%2C+and+J.+Zhu%2C+%E2%80%9CDelving+into+the+adversarial+robustness+on+face+recognition%2C%E2%80%9D+arXi","search")</f>
        <v/>
      </c>
      <c r="G305" s="3" t="n"/>
      <c r="H305" s="3" t="n"/>
      <c r="I305" s="3" t="n"/>
      <c r="J305" s="3" t="n"/>
      <c r="K305" t="inlineStr">
        <is>
          <t>NO</t>
        </is>
      </c>
      <c r="L305" s="3" t="n"/>
    </row>
    <row r="306" ht="42" customHeight="1">
      <c r="A306" t="inlineStr">
        <is>
          <t>F305</t>
        </is>
      </c>
      <c r="B306" t="inlineStr">
        <is>
          <t>2023</t>
        </is>
      </c>
      <c r="C306" t="inlineStr">
        <is>
          <t>Arxiv_CS_2023</t>
        </is>
      </c>
      <c r="D306" t="inlineStr">
        <is>
          <t>2311.08999v2.pdf</t>
        </is>
      </c>
      <c r="E306" s="2" t="inlineStr">
        <is>
          <t>Jimeno-Sáez, P., Senent-Aparicio, J., Pérez-Sánchez, J., Pulido-Velazquez, D., and Cecilia, J. M. (2017). Estimation of instantaneous peak ﬂow using machine-learning models and empirical formula in peninsular spain. Water, 9(5):347. Kia, M. B., Pirasteh, S., Pradhan, B., Rodzi, A., and Moradi, A. (2012). An artiﬁcial neural network model for ﬂood simulation using gis: Johor river basin, malaysia. Environmental Earth Sciences, 67:251–264. Klibi, W., Ichoua, S., and Martel, A. (2018). Prepositioni</t>
        </is>
      </c>
      <c r="F306">
        <f>HYPERLINK("https://scholar.google.com/scholar?q=Jimeno-S%C3%A1ez%2C+P.%2C+Senent-Aparicio%2C+J.%2C+P%C3%A9rez-S%C3%A1nchez%2C+J.%2C+Pulido-Velazquez%2C+D.%2C+and+Cecilia%2C+J.+M.+%282017%29.+Estimation+of+","search")</f>
        <v/>
      </c>
      <c r="G306" s="3" t="n"/>
      <c r="H306" s="3" t="n"/>
      <c r="I306" s="3" t="n"/>
      <c r="J306" s="3" t="n"/>
      <c r="K306" t="inlineStr">
        <is>
          <t>NO</t>
        </is>
      </c>
      <c r="L306" s="3" t="n"/>
    </row>
    <row r="307" ht="42" customHeight="1">
      <c r="A307" t="inlineStr">
        <is>
          <t>F306</t>
        </is>
      </c>
      <c r="B307" t="inlineStr">
        <is>
          <t>2016</t>
        </is>
      </c>
      <c r="C307" t="inlineStr">
        <is>
          <t>NeurIPS_2016</t>
        </is>
      </c>
      <c r="D307" t="inlineStr">
        <is>
          <t>052335232b11864986bb2fa20fa38748-Paper.pdf</t>
        </is>
      </c>
      <c r="E307" s="2" t="inlineStr">
        <is>
          <t>J. Dean and S. Ghemawat. Mapreduce: Simpliﬁed data processing on large clusters. In OSDI, 2004.</t>
        </is>
      </c>
      <c r="F307">
        <f>HYPERLINK("https://scholar.google.com/scholar?q=J.+Dean+and+S.+Ghemawat.+Mapreduce%3A+Simpli%EF%AC%81ed+data+processing+on+large+clusters.+In+OSDI%2C+2004.","search")</f>
        <v/>
      </c>
      <c r="G307" s="3" t="n"/>
      <c r="H307" s="3" t="n"/>
      <c r="I307" s="3" t="n"/>
      <c r="J307" s="3" t="n"/>
      <c r="K307" t="inlineStr">
        <is>
          <t>NO</t>
        </is>
      </c>
      <c r="L307" s="3" t="n"/>
    </row>
    <row r="308" ht="42" customHeight="1">
      <c r="A308" t="inlineStr">
        <is>
          <t>F307</t>
        </is>
      </c>
      <c r="B308" t="inlineStr">
        <is>
          <t>2016</t>
        </is>
      </c>
      <c r="C308" t="inlineStr">
        <is>
          <t>NeurIPS_2016</t>
        </is>
      </c>
      <c r="D308" t="inlineStr">
        <is>
          <t>0266e33d3f546cb5436a10798e657d97-Paper.pdf</t>
        </is>
      </c>
      <c r="E308" s="2" t="inlineStr">
        <is>
          <t>F. Ricci, L. Rokach, and B. Shapira. Introduction to Recommender Systems Handbook. Springer, 2011.</t>
        </is>
      </c>
      <c r="F308">
        <f>HYPERLINK("https://scholar.google.com/scholar?q=F.+Ricci%2C+L.+Rokach%2C+and+B.+Shapira.+Introduction+to+Recommender+Systems+Handbook.+Springer%2C+2011.","search")</f>
        <v/>
      </c>
      <c r="G308" s="3" t="n"/>
      <c r="H308" s="3" t="n"/>
      <c r="I308" s="3" t="n"/>
      <c r="J308" s="3" t="n"/>
      <c r="K308" t="inlineStr">
        <is>
          <t>YES</t>
        </is>
      </c>
      <c r="L308" s="3" t="n"/>
    </row>
  </sheetData>
  <autoFilter ref="A1:L308"/>
  <dataValidations count="2">
    <dataValidation sqref="G2:G308" showDropDown="0" showInputMessage="0" showErrorMessage="0" allowBlank="1" errorTitle="Invalid entry" error="Select a value from the list." type="list">
      <formula1>"Extraction artifact,Coverage limitation,Parser error,Fabrication,Undecided"</formula1>
    </dataValidation>
    <dataValidation sqref="I2:I308" showDropDown="0" showInputMessage="0" showErrorMessage="0" allowBlank="1" errorTitle="Invalid entry" error="Select a value from the list." type="list">
      <formula1>"Crossref,OpenAlex,Semantic Scholar,arXiv/DBLP,None of the four"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00" customWidth="1" min="1" max="1"/>
  </cols>
  <sheetData>
    <row r="1">
      <c r="A1" t="inlineStr">
        <is>
          <t>AUDIT OF UNRESOLVED STRINGS - CODING SHEET</t>
        </is>
      </c>
    </row>
    <row r="2">
      <c r="A2" t="inlineStr"/>
    </row>
    <row r="3">
      <c r="A3" t="inlineStr">
        <is>
          <t>Rows: 307 (census of every string the automated pass left unresolved)</t>
        </is>
      </c>
    </row>
    <row r="4">
      <c r="A4" t="inlineStr">
        <is>
          <t>Row order randomised; the sheet carries no information in its ordering.</t>
        </is>
      </c>
    </row>
    <row r="5">
      <c r="A5" t="inlineStr"/>
    </row>
    <row r="6">
      <c r="A6" t="inlineStr">
        <is>
          <t>PROCEDURE, per row</t>
        </is>
      </c>
    </row>
    <row r="7">
      <c r="A7" t="inlineStr">
        <is>
          <t>1. Read the string. Decide first whether it is a bibliographic reference at all.</t>
        </is>
      </c>
    </row>
    <row r="8">
      <c r="A8" t="inlineStr">
        <is>
          <t xml:space="preserve">   If it is a formula, a heading, a funding note or other layout text -&gt; Parser error.</t>
        </is>
      </c>
    </row>
    <row r="9">
      <c r="A9" t="inlineStr">
        <is>
          <t>2. If it is a reference, search for the cited work. Use the Search link, then widen</t>
        </is>
      </c>
    </row>
    <row r="10">
      <c r="A10" t="inlineStr">
        <is>
          <t xml:space="preserve">   the search by hand if it fails: title alone, author + year, exact-phrase, the</t>
        </is>
      </c>
    </row>
    <row r="11">
      <c r="A11" t="inlineStr">
        <is>
          <t xml:space="preserve">   publisher site, the author's own page.</t>
        </is>
      </c>
    </row>
    <row r="12">
      <c r="A12" t="inlineStr">
        <is>
          <t>3. If the work is found, record where in 'Evidence'. Then decide between:</t>
        </is>
      </c>
    </row>
    <row r="13">
      <c r="A13" t="inlineStr">
        <is>
          <t xml:space="preserve">   Extraction artifact  - the work is indexed in at least one of the four structured</t>
        </is>
      </c>
    </row>
    <row r="14">
      <c r="A14" t="inlineStr">
        <is>
          <t xml:space="preserve">                          sources, and the automated pass failed only because the</t>
        </is>
      </c>
    </row>
    <row r="15">
      <c r="A15" t="inlineStr">
        <is>
          <t xml:space="preserve">                          extracted string was corrupted.</t>
        </is>
      </c>
    </row>
    <row r="16">
      <c r="A16" t="inlineStr">
        <is>
          <t xml:space="preserve">   Coverage limitation  - the work exists but none of the four sources indexes it.</t>
        </is>
      </c>
    </row>
    <row r="17">
      <c r="A17" t="inlineStr">
        <is>
          <t xml:space="preserve">   Use the CheckIfExist dashboard to settle this, and record the answer in 'Indexed in'.</t>
        </is>
      </c>
    </row>
    <row r="18">
      <c r="A18" t="inlineStr">
        <is>
          <t>4. If the work cannot be found after a genuine search -&gt; Fabrication.</t>
        </is>
      </c>
    </row>
    <row r="19">
      <c r="A19" t="inlineStr">
        <is>
          <t>5. If you cannot decide, use Undecided and say why in Notes. Undecided is a valid</t>
        </is>
      </c>
    </row>
    <row r="20">
      <c r="A20" t="inlineStr">
        <is>
          <t xml:space="preserve">   outcome and is more useful than a forced call.</t>
        </is>
      </c>
    </row>
    <row r="21">
      <c r="A21" t="inlineStr"/>
    </row>
    <row r="22">
      <c r="A22" t="inlineStr">
        <is>
          <t>DOUBLE CODING</t>
        </is>
      </c>
    </row>
    <row r="23">
      <c r="A23" t="inlineStr">
        <is>
          <t>Rows marked YES in Double_Coded are coded independently by a second coder, who must</t>
        </is>
      </c>
    </row>
    <row r="24">
      <c r="A24" t="inlineStr">
        <is>
          <t>not see the first coder's column. Copy the sheet, delete the filled columns, and give</t>
        </is>
      </c>
    </row>
    <row r="25">
      <c r="A25" t="inlineStr">
        <is>
          <t>the copy to the second coder. Cohen's kappa is computed on those rows.</t>
        </is>
      </c>
    </row>
    <row r="26">
      <c r="A26" t="inlineStr"/>
    </row>
    <row r="27">
      <c r="A27" t="inlineStr">
        <is>
          <t>Record every verdict yourself. Do not fill this sheet programmatically.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2026-07-26T20:51:20Z</dcterms:created>
  <dcterms:modified xmlns:dcterms="http://purl.org/dc/terms/" xmlns:xsi="http://www.w3.org/2001/XMLSchema-instance" xsi:type="dcterms:W3CDTF">2026-07-26T20:51:20Z</dcterms:modified>
</cp:coreProperties>
</file>